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ProjectSchedule" sheetId="1" state="visible" r:id="rId1"/>
  </sheets>
  <definedNames>
    <definedName name="valuevx">42.314159</definedName>
    <definedName name="task_end" localSheetId="0">ProjectSchedule!$F1</definedName>
    <definedName name="task_progress" localSheetId="0">ProjectSchedule!$D1</definedName>
    <definedName name="task_start" localSheetId="0">ProjectSchedule!$E1</definedName>
    <definedName name="today" localSheetId="0">ProjectSchedule!$E$3</definedName>
    <definedName name="_xlnm.Print_Titles" localSheetId="0">'ProjectSchedule'!$4:$6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"/>
    <numFmt numFmtId="165" formatCode="m/d/yy;@"/>
    <numFmt numFmtId="166" formatCode="mmm\ d\,\ yyyy"/>
    <numFmt numFmtId="167" formatCode="ddd\,\ m/d/yyyy"/>
  </numFmts>
  <fonts count="19">
    <font>
      <name val="Calibri"/>
      <family val="2"/>
      <color theme="1"/>
      <sz val="11"/>
      <scheme val="minor"/>
    </font>
    <font>
      <name val="Arial"/>
      <family val="2"/>
      <color indexed="12"/>
      <sz val="11"/>
      <u val="single"/>
    </font>
    <font>
      <name val="Calibri"/>
      <family val="2"/>
      <color theme="1" tint="0.499984740745262"/>
      <sz val="10"/>
      <scheme val="minor"/>
    </font>
    <font>
      <name val="Calibri"/>
      <family val="2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color theme="0" tint="-0.499984740745262"/>
      <sz val="10"/>
      <scheme val="minor"/>
    </font>
    <font>
      <name val="Calibri"/>
      <family val="2"/>
      <color theme="1"/>
      <sz val="11"/>
      <scheme val="minor"/>
    </font>
    <font>
      <name val="Calibri"/>
      <family val="2"/>
      <sz val="9"/>
      <scheme val="minor"/>
    </font>
    <font>
      <name val="Calibri"/>
      <family val="2"/>
      <color theme="0"/>
      <sz val="8"/>
      <scheme val="minor"/>
    </font>
    <font>
      <name val="Calibri"/>
      <family val="2"/>
      <b val="1"/>
      <color theme="1" tint="0.499984740745262"/>
      <sz val="11"/>
      <scheme val="minor"/>
    </font>
    <font>
      <name val="Arial"/>
      <family val="2"/>
      <color theme="1" tint="0.499984740745262"/>
      <sz val="10"/>
    </font>
    <font>
      <name val="Calibri"/>
      <family val="2"/>
      <color theme="1"/>
      <sz val="16"/>
      <scheme val="minor"/>
    </font>
    <font>
      <name val="Calibri"/>
      <family val="2"/>
      <color theme="0"/>
      <sz val="11"/>
      <scheme val="minor"/>
    </font>
    <font>
      <name val="Arial"/>
      <family val="2"/>
      <color theme="1" tint="0.499984740745262"/>
      <sz val="9"/>
    </font>
    <font>
      <name val="Arial"/>
      <family val="2"/>
      <color theme="4" tint="-0.249977111117893"/>
      <sz val="9"/>
      <u val="single"/>
    </font>
    <font>
      <name val="Calibri"/>
      <b val="1"/>
      <color rgb="FF1F497D"/>
      <sz val="16"/>
    </font>
    <font>
      <name val="Calibri"/>
      <b val="1"/>
      <color rgb="FF333333"/>
      <sz val="11"/>
    </font>
  </fonts>
  <fills count="1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1" tint="0.3499862666707358"/>
        <bgColor theme="4"/>
      </patternFill>
    </fill>
  </fills>
  <borders count="11">
    <border>
      <left/>
      <right/>
      <top/>
      <bottom/>
      <diagonal/>
    </border>
    <border>
      <left/>
      <right/>
      <top style="thin">
        <color theme="0" tint="-0.3499862666707358"/>
      </top>
      <bottom/>
      <diagonal/>
    </border>
    <border>
      <left/>
      <right/>
      <top style="medium">
        <color theme="0" tint="-0.1499374370555742"/>
      </top>
      <bottom style="medium">
        <color theme="0" tint="-0.149937437055574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/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medium">
        <color theme="0" tint="-0.1499374370555742"/>
      </bottom>
      <diagonal/>
    </border>
    <border>
      <left style="thin">
        <color theme="0" tint="-0.1499069185460982"/>
      </left>
      <right style="thin">
        <color theme="0" tint="-0.1499069185460982"/>
      </right>
      <top style="medium">
        <color theme="0" tint="-0.1499374370555742"/>
      </top>
      <bottom style="medium">
        <color theme="0" tint="-0.149937437055574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</borders>
  <cellStyleXfs count="3">
    <xf numFmtId="0" fontId="8" fillId="0" borderId="0"/>
    <xf numFmtId="0" fontId="1" fillId="0" borderId="0" applyAlignment="1" applyProtection="1">
      <alignment vertical="top"/>
      <protection locked="0" hidden="0"/>
    </xf>
    <xf numFmtId="9" fontId="8" fillId="0" borderId="0"/>
  </cellStyleXfs>
  <cellXfs count="83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 vertical="center"/>
    </xf>
    <xf numFmtId="0" fontId="0" fillId="0" borderId="3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5" fillId="15" borderId="1" applyAlignment="1" pivotButton="0" quotePrefix="0" xfId="0">
      <alignment horizontal="left" vertical="center" indent="1"/>
    </xf>
    <xf numFmtId="0" fontId="5" fillId="15" borderId="1" applyAlignment="1" pivotButton="0" quotePrefix="0" xfId="0">
      <alignment horizontal="center" vertical="center" wrapText="1"/>
    </xf>
    <xf numFmtId="164" fontId="9" fillId="8" borderId="0" applyAlignment="1" pivotButton="0" quotePrefix="0" xfId="0">
      <alignment horizontal="center" vertical="center"/>
    </xf>
    <xf numFmtId="164" fontId="9" fillId="8" borderId="6" applyAlignment="1" pivotButton="0" quotePrefix="0" xfId="0">
      <alignment horizontal="center" vertical="center"/>
    </xf>
    <xf numFmtId="164" fontId="9" fillId="8" borderId="7" applyAlignment="1" pivotButton="0" quotePrefix="0" xfId="0">
      <alignment horizontal="center" vertical="center"/>
    </xf>
    <xf numFmtId="0" fontId="10" fillId="14" borderId="8" applyAlignment="1" pivotButton="0" quotePrefix="0" xfId="0">
      <alignment horizontal="center" vertical="center" shrinkToFit="1"/>
    </xf>
    <xf numFmtId="0" fontId="11" fillId="0" borderId="0" pivotButton="0" quotePrefix="0" xfId="0"/>
    <xf numFmtId="0" fontId="12" fillId="0" borderId="0" pivotButton="0" quotePrefix="0" xfId="1"/>
    <xf numFmtId="0" fontId="13" fillId="0" borderId="0" applyAlignment="1" pivotButton="0" quotePrefix="0" xfId="0">
      <alignment horizontal="right" vertical="center"/>
    </xf>
    <xf numFmtId="0" fontId="0" fillId="0" borderId="2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center" vertical="center"/>
    </xf>
    <xf numFmtId="9" fontId="3" fillId="0" borderId="2" applyAlignment="1" pivotButton="0" quotePrefix="0" xfId="2">
      <alignment horizontal="center" vertical="center"/>
    </xf>
    <xf numFmtId="165" fontId="0" fillId="0" borderId="2" applyAlignment="1" pivotButton="0" quotePrefix="0" xfId="0">
      <alignment horizontal="center" vertical="center"/>
    </xf>
    <xf numFmtId="165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9" fontId="3" fillId="9" borderId="2" applyAlignment="1" pivotButton="0" quotePrefix="0" xfId="2">
      <alignment horizontal="center" vertical="center"/>
    </xf>
    <xf numFmtId="165" fontId="0" fillId="9" borderId="2" applyAlignment="1" pivotButton="0" quotePrefix="0" xfId="0">
      <alignment horizontal="center" vertical="center"/>
    </xf>
    <xf numFmtId="165" fontId="3" fillId="9" borderId="2" applyAlignment="1" pivotButton="0" quotePrefix="0" xfId="0">
      <alignment horizontal="center" vertical="center"/>
    </xf>
    <xf numFmtId="9" fontId="3" fillId="3" borderId="2" applyAlignment="1" pivotButton="0" quotePrefix="0" xfId="2">
      <alignment horizontal="center" vertical="center"/>
    </xf>
    <xf numFmtId="165" fontId="0" fillId="3" borderId="2" applyAlignment="1" pivotButton="0" quotePrefix="0" xfId="0">
      <alignment horizontal="center" vertical="center"/>
    </xf>
    <xf numFmtId="165" fontId="3" fillId="3" borderId="2" applyAlignment="1" pivotButton="0" quotePrefix="0" xfId="0">
      <alignment horizontal="center" vertical="center"/>
    </xf>
    <xf numFmtId="9" fontId="3" fillId="10" borderId="2" applyAlignment="1" pivotButton="0" quotePrefix="0" xfId="2">
      <alignment horizontal="center" vertical="center"/>
    </xf>
    <xf numFmtId="165" fontId="0" fillId="10" borderId="2" applyAlignment="1" pivotButton="0" quotePrefix="0" xfId="0">
      <alignment horizontal="center" vertical="center"/>
    </xf>
    <xf numFmtId="165" fontId="3" fillId="10" borderId="2" applyAlignment="1" pivotButton="0" quotePrefix="0" xfId="0">
      <alignment horizontal="center" vertical="center"/>
    </xf>
    <xf numFmtId="9" fontId="3" fillId="4" borderId="2" applyAlignment="1" pivotButton="0" quotePrefix="0" xfId="2">
      <alignment horizontal="center" vertical="center"/>
    </xf>
    <xf numFmtId="165" fontId="0" fillId="4" borderId="2" applyAlignment="1" pivotButton="0" quotePrefix="0" xfId="0">
      <alignment horizontal="center" vertical="center"/>
    </xf>
    <xf numFmtId="165" fontId="3" fillId="4" borderId="2" applyAlignment="1" pivotButton="0" quotePrefix="0" xfId="0">
      <alignment horizontal="center" vertical="center"/>
    </xf>
    <xf numFmtId="9" fontId="3" fillId="6" borderId="2" applyAlignment="1" pivotButton="0" quotePrefix="0" xfId="2">
      <alignment horizontal="center" vertical="center"/>
    </xf>
    <xf numFmtId="165" fontId="0" fillId="6" borderId="2" applyAlignment="1" pivotButton="0" quotePrefix="0" xfId="0">
      <alignment horizontal="center" vertical="center"/>
    </xf>
    <xf numFmtId="165" fontId="3" fillId="6" borderId="2" applyAlignment="1" pivotButton="0" quotePrefix="0" xfId="0">
      <alignment horizontal="center" vertical="center"/>
    </xf>
    <xf numFmtId="9" fontId="3" fillId="13" borderId="2" applyAlignment="1" pivotButton="0" quotePrefix="0" xfId="2">
      <alignment horizontal="center" vertical="center"/>
    </xf>
    <xf numFmtId="165" fontId="0" fillId="13" borderId="2" applyAlignment="1" pivotButton="0" quotePrefix="0" xfId="0">
      <alignment horizontal="center" vertical="center"/>
    </xf>
    <xf numFmtId="165" fontId="3" fillId="13" borderId="2" applyAlignment="1" pivotButton="0" quotePrefix="0" xfId="0">
      <alignment horizontal="center" vertical="center"/>
    </xf>
    <xf numFmtId="9" fontId="3" fillId="5" borderId="2" applyAlignment="1" pivotButton="0" quotePrefix="0" xfId="2">
      <alignment horizontal="center" vertical="center"/>
    </xf>
    <xf numFmtId="165" fontId="0" fillId="5" borderId="2" applyAlignment="1" pivotButton="0" quotePrefix="0" xfId="0">
      <alignment horizontal="center" vertical="center"/>
    </xf>
    <xf numFmtId="165" fontId="3" fillId="5" borderId="2" applyAlignment="1" pivotButton="0" quotePrefix="0" xfId="0">
      <alignment horizontal="center" vertical="center"/>
    </xf>
    <xf numFmtId="9" fontId="3" fillId="11" borderId="2" applyAlignment="1" pivotButton="0" quotePrefix="0" xfId="2">
      <alignment horizontal="center" vertical="center"/>
    </xf>
    <xf numFmtId="165" fontId="0" fillId="11" borderId="2" applyAlignment="1" pivotButton="0" quotePrefix="0" xfId="0">
      <alignment horizontal="center" vertical="center"/>
    </xf>
    <xf numFmtId="165" fontId="3" fillId="11" borderId="2" applyAlignment="1" pivotButton="0" quotePrefix="0" xfId="0">
      <alignment horizontal="center" vertical="center"/>
    </xf>
    <xf numFmtId="9" fontId="3" fillId="7" borderId="2" applyAlignment="1" pivotButton="0" quotePrefix="0" xfId="2">
      <alignment horizontal="center" vertical="center"/>
    </xf>
    <xf numFmtId="165" fontId="0" fillId="7" borderId="2" applyAlignment="1" pivotButton="0" quotePrefix="0" xfId="0">
      <alignment horizontal="center" vertical="center"/>
    </xf>
    <xf numFmtId="165" fontId="3" fillId="7" borderId="2" applyAlignment="1" pivotButton="0" quotePrefix="0" xfId="0">
      <alignment horizontal="center" vertical="center"/>
    </xf>
    <xf numFmtId="9" fontId="3" fillId="12" borderId="2" applyAlignment="1" pivotButton="0" quotePrefix="0" xfId="2">
      <alignment horizontal="center" vertical="center"/>
    </xf>
    <xf numFmtId="165" fontId="0" fillId="12" borderId="2" applyAlignment="1" pivotButton="0" quotePrefix="0" xfId="0">
      <alignment horizontal="center" vertical="center"/>
    </xf>
    <xf numFmtId="165" fontId="3" fillId="12" borderId="2" applyAlignment="1" pivotButton="0" quotePrefix="0" xfId="0">
      <alignment horizontal="center" vertical="center"/>
    </xf>
    <xf numFmtId="0" fontId="6" fillId="2" borderId="2" applyAlignment="1" pivotButton="0" quotePrefix="0" xfId="0">
      <alignment horizontal="left" vertical="center" indent="1"/>
    </xf>
    <xf numFmtId="0" fontId="6" fillId="2" borderId="2" applyAlignment="1" pivotButton="0" quotePrefix="0" xfId="0">
      <alignment horizontal="center" vertical="center"/>
    </xf>
    <xf numFmtId="9" fontId="3" fillId="2" borderId="2" applyAlignment="1" pivotButton="0" quotePrefix="0" xfId="2">
      <alignment horizontal="center" vertical="center"/>
    </xf>
    <xf numFmtId="165" fontId="2" fillId="2" borderId="2" applyAlignment="1" pivotButton="0" quotePrefix="0" xfId="0">
      <alignment horizontal="left" vertical="center"/>
    </xf>
    <xf numFmtId="165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0" fontId="0" fillId="0" borderId="9" applyAlignment="1" pivotButton="0" quotePrefix="0" xfId="0">
      <alignment horizontal="right" vertical="center"/>
    </xf>
    <xf numFmtId="0" fontId="0" fillId="2" borderId="9" applyAlignment="1" pivotButton="0" quotePrefix="0" xfId="0">
      <alignment vertical="center"/>
    </xf>
    <xf numFmtId="14" fontId="14" fillId="0" borderId="0" applyAlignment="1" pivotButton="0" quotePrefix="0" xfId="0">
      <alignment horizontal="center"/>
    </xf>
    <xf numFmtId="0" fontId="15" fillId="0" borderId="0" pivotButton="0" quotePrefix="0" xfId="0"/>
    <xf numFmtId="0" fontId="15" fillId="0" borderId="0" pivotButton="0" quotePrefix="0" xfId="1"/>
    <xf numFmtId="0" fontId="16" fillId="0" borderId="0" applyAlignment="1" pivotButton="0" quotePrefix="0" xfId="1">
      <alignment horizontal="left" vertical="center"/>
    </xf>
    <xf numFmtId="0" fontId="18" fillId="0" borderId="0" pivotButton="0" quotePrefix="0" xfId="0"/>
    <xf numFmtId="0" fontId="4" fillId="9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left" vertical="center"/>
    </xf>
    <xf numFmtId="0" fontId="0" fillId="4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left" vertical="center"/>
    </xf>
    <xf numFmtId="0" fontId="0" fillId="13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0" fontId="0" fillId="11" borderId="2" applyAlignment="1" pivotButton="0" quotePrefix="0" xfId="0">
      <alignment horizontal="left" vertical="center"/>
    </xf>
    <xf numFmtId="0" fontId="4" fillId="7" borderId="2" applyAlignment="1" pivotButton="0" quotePrefix="0" xfId="0">
      <alignment horizontal="left" vertical="center"/>
    </xf>
    <xf numFmtId="0" fontId="0" fillId="12" borderId="2" applyAlignment="1" pivotButton="0" quotePrefix="0" xfId="0">
      <alignment horizontal="left" vertical="center"/>
    </xf>
    <xf numFmtId="166" fontId="0" fillId="8" borderId="10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0" fillId="0" borderId="5" pivotButton="0" quotePrefix="0" xfId="0"/>
    <xf numFmtId="0" fontId="1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7" fontId="0" fillId="0" borderId="3" applyAlignment="1" pivotButton="0" quotePrefix="0" xfId="0">
      <alignment horizontal="center" vertical="center"/>
    </xf>
    <xf numFmtId="0" fontId="0" fillId="0" borderId="4" pivotButton="0" quotePrefix="0" xfId="0"/>
  </cellXfs>
  <cellStyles count="3">
    <cellStyle name="Normal" xfId="0" builtinId="0"/>
    <cellStyle name="Hyperlink" xfId="1" builtinId="8"/>
    <cellStyle name="Percent" xfId="2" builtinId="5"/>
  </cellStyles>
  <dxfs count="12">
    <dxf>
      <fill>
        <patternFill>
          <bgColor theme="7"/>
        </patternFill>
      </fill>
      <border>
        <left/>
        <right/>
      </border>
    </dxf>
    <dxf>
      <fill>
        <patternFill>
          <bgColor theme="0" tint="-0.3499862666707358"/>
        </patternFill>
      </fill>
    </dxf>
    <dxf>
      <border>
        <left style="thin">
          <color rgb="FFC00000"/>
        </left>
        <right style="thin">
          <color rgb="FFC00000"/>
        </right>
        <vertical/>
        <horizontal/>
      </border>
    </dxf>
    <dxf>
      <border>
        <left style="thin">
          <color theme="0" tint="-0.249946592608417"/>
        </left>
      </border>
    </dxf>
    <dxf>
      <border>
        <left style="thin">
          <color theme="0" tint="-0.249946592608417"/>
        </left>
      </border>
    </dxf>
    <dxf>
      <border>
        <top style="thin">
          <color theme="4" tint="0.3999450666829432"/>
        </top>
      </border>
    </dxf>
    <dxf>
      <fill>
        <patternFill>
          <bgColor theme="0" tint="-0.0499893185216834"/>
        </patternFill>
      </fill>
      <border>
        <top style="thin">
          <color theme="4" tint="0.3999450666829432"/>
        </top>
      </border>
    </dxf>
    <dxf>
      <font>
        <b val="1"/>
        <color theme="1"/>
      </font>
    </dxf>
    <dxf>
      <font>
        <color theme="1"/>
      </font>
      <border>
        <left style="thin">
          <color theme="4"/>
        </left>
      </border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secondRowStripe" dxfId="5"/>
      <tableStyleElement type="firstColumnStripe" dxfId="4"/>
      <tableStyleElement type="secondColumn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Vertex42.com Templates</author>
  </authors>
  <commentList>
    <comment ref="H6" authorId="0" shapeId="0">
      <text>
        <t>DAYS:
This column calculates the duration of the task in calendar days. The duration includes both the Start and End dates.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BL45"/>
  <sheetViews>
    <sheetView showGridLines="0" tabSelected="1" showRuler="0" topLeftCell="C1" zoomScaleNormal="100" zoomScalePageLayoutView="70" workbookViewId="0">
      <pane ySplit="6" topLeftCell="A20" activePane="bottomLeft" state="frozen"/>
      <selection pane="bottomLeft" activeCell="M22" sqref="M22"/>
    </sheetView>
  </sheetViews>
  <sheetFormatPr baseColWidth="8" defaultRowHeight="14.4"/>
  <cols>
    <col width="3" customWidth="1" style="79" min="1" max="1"/>
    <col width="56" customWidth="1" style="79" min="2" max="2"/>
    <col width="18" customWidth="1" style="79" min="3" max="3"/>
    <col width="12" customWidth="1" style="79" min="4" max="4"/>
    <col width="12" customWidth="1" style="80" min="5" max="5"/>
    <col width="12" customWidth="1" style="79" min="6" max="6"/>
    <col width="3" customWidth="1" style="79" min="7" max="7"/>
    <col hidden="1" width="8" customWidth="1" style="79" min="8" max="8"/>
    <col width="2.5546875" customWidth="1" style="79" min="9" max="64"/>
    <col width="10.33203125" customWidth="1" style="79" min="69" max="70"/>
  </cols>
  <sheetData>
    <row r="1" ht="28.5" customHeight="1" s="79">
      <c r="B1" s="78" t="inlineStr">
        <is>
          <t>PrivaLens: Automated Web Privacy &amp; Regulatory Compliance Scanner</t>
        </is>
      </c>
      <c r="I1" s="5" t="n"/>
      <c r="J1" s="63" t="n"/>
    </row>
    <row r="2" ht="19.5" customHeight="1" s="79">
      <c r="B2" s="64" t="inlineStr">
        <is>
          <t>TIET Patiala - UCS503 Software Engineering</t>
        </is>
      </c>
      <c r="D2" s="3" t="inlineStr">
        <is>
          <t>Project Start:</t>
        </is>
      </c>
      <c r="E2" s="81" t="n">
        <v>46237</v>
      </c>
      <c r="F2" s="82" t="n"/>
    </row>
    <row r="3" ht="19.5" customHeight="1" s="79">
      <c r="B3" s="64" t="inlineStr">
        <is>
          <t>Project Lead: Naman Arora (Roll No: 1024160029)</t>
        </is>
      </c>
      <c r="D3" s="3" t="inlineStr">
        <is>
          <t>Today:</t>
        </is>
      </c>
      <c r="E3" s="81" t="n">
        <v>46281</v>
      </c>
      <c r="F3" s="82" t="n"/>
    </row>
    <row r="4" ht="19.5" customHeight="1" s="79">
      <c r="D4" s="3" t="inlineStr">
        <is>
          <t>Display Week:</t>
        </is>
      </c>
      <c r="E4" s="4" t="n">
        <v>1</v>
      </c>
      <c r="I4" s="75">
        <f>I5</f>
        <v/>
      </c>
      <c r="J4" s="76" t="n"/>
      <c r="K4" s="76" t="n"/>
      <c r="L4" s="76" t="n"/>
      <c r="M4" s="76" t="n"/>
      <c r="N4" s="76" t="n"/>
      <c r="O4" s="77" t="n"/>
      <c r="P4" s="75">
        <f>P5</f>
        <v/>
      </c>
      <c r="Q4" s="76" t="n"/>
      <c r="R4" s="76" t="n"/>
      <c r="S4" s="76" t="n"/>
      <c r="T4" s="76" t="n"/>
      <c r="U4" s="76" t="n"/>
      <c r="V4" s="77" t="n"/>
      <c r="W4" s="75">
        <f>W5</f>
        <v/>
      </c>
      <c r="X4" s="76" t="n"/>
      <c r="Y4" s="76" t="n"/>
      <c r="Z4" s="76" t="n"/>
      <c r="AA4" s="76" t="n"/>
      <c r="AB4" s="76" t="n"/>
      <c r="AC4" s="77" t="n"/>
      <c r="AD4" s="75">
        <f>AD5</f>
        <v/>
      </c>
      <c r="AE4" s="76" t="n"/>
      <c r="AF4" s="76" t="n"/>
      <c r="AG4" s="76" t="n"/>
      <c r="AH4" s="76" t="n"/>
      <c r="AI4" s="76" t="n"/>
      <c r="AJ4" s="77" t="n"/>
      <c r="AK4" s="75">
        <f>AK5</f>
        <v/>
      </c>
      <c r="AL4" s="76" t="n"/>
      <c r="AM4" s="76" t="n"/>
      <c r="AN4" s="76" t="n"/>
      <c r="AO4" s="76" t="n"/>
      <c r="AP4" s="76" t="n"/>
      <c r="AQ4" s="77" t="n"/>
      <c r="AR4" s="75">
        <f>AR5</f>
        <v/>
      </c>
      <c r="AS4" s="76" t="n"/>
      <c r="AT4" s="76" t="n"/>
      <c r="AU4" s="76" t="n"/>
      <c r="AV4" s="76" t="n"/>
      <c r="AW4" s="76" t="n"/>
      <c r="AX4" s="77" t="n"/>
      <c r="AY4" s="75">
        <f>AY5</f>
        <v/>
      </c>
      <c r="AZ4" s="76" t="n"/>
      <c r="BA4" s="76" t="n"/>
      <c r="BB4" s="76" t="n"/>
      <c r="BC4" s="76" t="n"/>
      <c r="BD4" s="76" t="n"/>
      <c r="BE4" s="77" t="n"/>
      <c r="BF4" s="75">
        <f>BF5</f>
        <v/>
      </c>
      <c r="BG4" s="76" t="n"/>
      <c r="BH4" s="76" t="n"/>
      <c r="BI4" s="76" t="n"/>
      <c r="BJ4" s="76" t="n"/>
      <c r="BK4" s="76" t="n"/>
      <c r="BL4" s="77" t="n"/>
    </row>
    <row r="5">
      <c r="A5" s="3" t="n"/>
      <c r="G5" s="3" t="n"/>
      <c r="I5" s="9">
        <f>E2-WEEKDAY(E2,1)+2+7*(E4-1)</f>
        <v/>
      </c>
      <c r="J5" s="8">
        <f>I5+1</f>
        <v/>
      </c>
      <c r="K5" s="8">
        <f>J5+1</f>
        <v/>
      </c>
      <c r="L5" s="8">
        <f>K5+1</f>
        <v/>
      </c>
      <c r="M5" s="8">
        <f>L5+1</f>
        <v/>
      </c>
      <c r="N5" s="8">
        <f>M5+1</f>
        <v/>
      </c>
      <c r="O5" s="10">
        <f>N5+1</f>
        <v/>
      </c>
      <c r="P5" s="9">
        <f>O5+1</f>
        <v/>
      </c>
      <c r="Q5" s="8">
        <f>P5+1</f>
        <v/>
      </c>
      <c r="R5" s="8">
        <f>Q5+1</f>
        <v/>
      </c>
      <c r="S5" s="8">
        <f>R5+1</f>
        <v/>
      </c>
      <c r="T5" s="8">
        <f>S5+1</f>
        <v/>
      </c>
      <c r="U5" s="8">
        <f>T5+1</f>
        <v/>
      </c>
      <c r="V5" s="10">
        <f>U5+1</f>
        <v/>
      </c>
      <c r="W5" s="9">
        <f>V5+1</f>
        <v/>
      </c>
      <c r="X5" s="8">
        <f>W5+1</f>
        <v/>
      </c>
      <c r="Y5" s="8">
        <f>X5+1</f>
        <v/>
      </c>
      <c r="Z5" s="8">
        <f>Y5+1</f>
        <v/>
      </c>
      <c r="AA5" s="8">
        <f>Z5+1</f>
        <v/>
      </c>
      <c r="AB5" s="8">
        <f>AA5+1</f>
        <v/>
      </c>
      <c r="AC5" s="10">
        <f>AB5+1</f>
        <v/>
      </c>
      <c r="AD5" s="9">
        <f>AC5+1</f>
        <v/>
      </c>
      <c r="AE5" s="8">
        <f>AD5+1</f>
        <v/>
      </c>
      <c r="AF5" s="8">
        <f>AE5+1</f>
        <v/>
      </c>
      <c r="AG5" s="8">
        <f>AF5+1</f>
        <v/>
      </c>
      <c r="AH5" s="8">
        <f>AG5+1</f>
        <v/>
      </c>
      <c r="AI5" s="8">
        <f>AH5+1</f>
        <v/>
      </c>
      <c r="AJ5" s="10">
        <f>AI5+1</f>
        <v/>
      </c>
      <c r="AK5" s="9">
        <f>AJ5+1</f>
        <v/>
      </c>
      <c r="AL5" s="8">
        <f>AK5+1</f>
        <v/>
      </c>
      <c r="AM5" s="8">
        <f>AL5+1</f>
        <v/>
      </c>
      <c r="AN5" s="8">
        <f>AM5+1</f>
        <v/>
      </c>
      <c r="AO5" s="8">
        <f>AN5+1</f>
        <v/>
      </c>
      <c r="AP5" s="8">
        <f>AO5+1</f>
        <v/>
      </c>
      <c r="AQ5" s="10">
        <f>AP5+1</f>
        <v/>
      </c>
      <c r="AR5" s="9">
        <f>AQ5+1</f>
        <v/>
      </c>
      <c r="AS5" s="8">
        <f>AR5+1</f>
        <v/>
      </c>
      <c r="AT5" s="8">
        <f>AS5+1</f>
        <v/>
      </c>
      <c r="AU5" s="8">
        <f>AT5+1</f>
        <v/>
      </c>
      <c r="AV5" s="8">
        <f>AU5+1</f>
        <v/>
      </c>
      <c r="AW5" s="8">
        <f>AV5+1</f>
        <v/>
      </c>
      <c r="AX5" s="10">
        <f>AW5+1</f>
        <v/>
      </c>
      <c r="AY5" s="9">
        <f>AX5+1</f>
        <v/>
      </c>
      <c r="AZ5" s="8">
        <f>AY5+1</f>
        <v/>
      </c>
      <c r="BA5" s="8">
        <f>AZ5+1</f>
        <v/>
      </c>
      <c r="BB5" s="8">
        <f>BA5+1</f>
        <v/>
      </c>
      <c r="BC5" s="8">
        <f>BB5+1</f>
        <v/>
      </c>
      <c r="BD5" s="8">
        <f>BC5+1</f>
        <v/>
      </c>
      <c r="BE5" s="10">
        <f>BD5+1</f>
        <v/>
      </c>
      <c r="BF5" s="9">
        <f>BE5+1</f>
        <v/>
      </c>
      <c r="BG5" s="8">
        <f>BF5+1</f>
        <v/>
      </c>
      <c r="BH5" s="8">
        <f>BG5+1</f>
        <v/>
      </c>
      <c r="BI5" s="8">
        <f>BH5+1</f>
        <v/>
      </c>
      <c r="BJ5" s="8">
        <f>BI5+1</f>
        <v/>
      </c>
      <c r="BK5" s="8">
        <f>BJ5+1</f>
        <v/>
      </c>
      <c r="BL5" s="10">
        <f>BK5+1</f>
        <v/>
      </c>
    </row>
    <row r="6" ht="29.25" customHeight="1" s="79" thickBot="1">
      <c r="A6" s="14" t="n"/>
      <c r="B6" s="6" t="inlineStr">
        <is>
          <t>TASK</t>
        </is>
      </c>
      <c r="C6" s="7" t="inlineStr">
        <is>
          <t>ASSIGNED
TO</t>
        </is>
      </c>
      <c r="D6" s="7" t="inlineStr">
        <is>
          <t>PROGRESS</t>
        </is>
      </c>
      <c r="E6" s="7" t="inlineStr">
        <is>
          <t>START</t>
        </is>
      </c>
      <c r="F6" s="7" t="inlineStr">
        <is>
          <t>END</t>
        </is>
      </c>
      <c r="G6" s="7" t="n"/>
      <c r="H6" s="7" t="inlineStr">
        <is>
          <t>DAYS</t>
        </is>
      </c>
      <c r="I6" s="11">
        <f>LEFT(TEXT(I5,"ddd"),1)</f>
        <v/>
      </c>
      <c r="J6" s="11">
        <f>LEFT(TEXT(J5,"ddd"),1)</f>
        <v/>
      </c>
      <c r="K6" s="11">
        <f>LEFT(TEXT(K5,"ddd"),1)</f>
        <v/>
      </c>
      <c r="L6" s="11">
        <f>LEFT(TEXT(L5,"ddd"),1)</f>
        <v/>
      </c>
      <c r="M6" s="11">
        <f>LEFT(TEXT(M5,"ddd"),1)</f>
        <v/>
      </c>
      <c r="N6" s="11">
        <f>LEFT(TEXT(N5,"ddd"),1)</f>
        <v/>
      </c>
      <c r="O6" s="11">
        <f>LEFT(TEXT(O5,"ddd"),1)</f>
        <v/>
      </c>
      <c r="P6" s="11">
        <f>LEFT(TEXT(P5,"ddd"),1)</f>
        <v/>
      </c>
      <c r="Q6" s="11">
        <f>LEFT(TEXT(Q5,"ddd"),1)</f>
        <v/>
      </c>
      <c r="R6" s="11">
        <f>LEFT(TEXT(R5,"ddd"),1)</f>
        <v/>
      </c>
      <c r="S6" s="11">
        <f>LEFT(TEXT(S5,"ddd"),1)</f>
        <v/>
      </c>
      <c r="T6" s="11">
        <f>LEFT(TEXT(T5,"ddd"),1)</f>
        <v/>
      </c>
      <c r="U6" s="11">
        <f>LEFT(TEXT(U5,"ddd"),1)</f>
        <v/>
      </c>
      <c r="V6" s="11">
        <f>LEFT(TEXT(V5,"ddd"),1)</f>
        <v/>
      </c>
      <c r="W6" s="11">
        <f>LEFT(TEXT(W5,"ddd"),1)</f>
        <v/>
      </c>
      <c r="X6" s="11">
        <f>LEFT(TEXT(X5,"ddd"),1)</f>
        <v/>
      </c>
      <c r="Y6" s="11">
        <f>LEFT(TEXT(Y5,"ddd"),1)</f>
        <v/>
      </c>
      <c r="Z6" s="11">
        <f>LEFT(TEXT(Z5,"ddd"),1)</f>
        <v/>
      </c>
      <c r="AA6" s="11">
        <f>LEFT(TEXT(AA5,"ddd"),1)</f>
        <v/>
      </c>
      <c r="AB6" s="11">
        <f>LEFT(TEXT(AB5,"ddd"),1)</f>
        <v/>
      </c>
      <c r="AC6" s="11">
        <f>LEFT(TEXT(AC5,"ddd"),1)</f>
        <v/>
      </c>
      <c r="AD6" s="11">
        <f>LEFT(TEXT(AD5,"ddd"),1)</f>
        <v/>
      </c>
      <c r="AE6" s="11">
        <f>LEFT(TEXT(AE5,"ddd"),1)</f>
        <v/>
      </c>
      <c r="AF6" s="11">
        <f>LEFT(TEXT(AF5,"ddd"),1)</f>
        <v/>
      </c>
      <c r="AG6" s="11">
        <f>LEFT(TEXT(AG5,"ddd"),1)</f>
        <v/>
      </c>
      <c r="AH6" s="11">
        <f>LEFT(TEXT(AH5,"ddd"),1)</f>
        <v/>
      </c>
      <c r="AI6" s="11">
        <f>LEFT(TEXT(AI5,"ddd"),1)</f>
        <v/>
      </c>
      <c r="AJ6" s="11">
        <f>LEFT(TEXT(AJ5,"ddd"),1)</f>
        <v/>
      </c>
      <c r="AK6" s="11">
        <f>LEFT(TEXT(AK5,"ddd"),1)</f>
        <v/>
      </c>
      <c r="AL6" s="11">
        <f>LEFT(TEXT(AL5,"ddd"),1)</f>
        <v/>
      </c>
      <c r="AM6" s="11">
        <f>LEFT(TEXT(AM5,"ddd"),1)</f>
        <v/>
      </c>
      <c r="AN6" s="11">
        <f>LEFT(TEXT(AN5,"ddd"),1)</f>
        <v/>
      </c>
      <c r="AO6" s="11">
        <f>LEFT(TEXT(AO5,"ddd"),1)</f>
        <v/>
      </c>
      <c r="AP6" s="11">
        <f>LEFT(TEXT(AP5,"ddd"),1)</f>
        <v/>
      </c>
      <c r="AQ6" s="11">
        <f>LEFT(TEXT(AQ5,"ddd"),1)</f>
        <v/>
      </c>
      <c r="AR6" s="11">
        <f>LEFT(TEXT(AR5,"ddd"),1)</f>
        <v/>
      </c>
      <c r="AS6" s="11">
        <f>LEFT(TEXT(AS5,"ddd"),1)</f>
        <v/>
      </c>
      <c r="AT6" s="11">
        <f>LEFT(TEXT(AT5,"ddd"),1)</f>
        <v/>
      </c>
      <c r="AU6" s="11">
        <f>LEFT(TEXT(AU5,"ddd"),1)</f>
        <v/>
      </c>
      <c r="AV6" s="11">
        <f>LEFT(TEXT(AV5,"ddd"),1)</f>
        <v/>
      </c>
      <c r="AW6" s="11">
        <f>LEFT(TEXT(AW5,"ddd"),1)</f>
        <v/>
      </c>
      <c r="AX6" s="11">
        <f>LEFT(TEXT(AX5,"ddd"),1)</f>
        <v/>
      </c>
      <c r="AY6" s="11">
        <f>LEFT(TEXT(AY5,"ddd"),1)</f>
        <v/>
      </c>
      <c r="AZ6" s="11">
        <f>LEFT(TEXT(AZ5,"ddd"),1)</f>
        <v/>
      </c>
      <c r="BA6" s="11">
        <f>LEFT(TEXT(BA5,"ddd"),1)</f>
        <v/>
      </c>
      <c r="BB6" s="11">
        <f>LEFT(TEXT(BB5,"ddd"),1)</f>
        <v/>
      </c>
      <c r="BC6" s="11">
        <f>LEFT(TEXT(BC5,"ddd"),1)</f>
        <v/>
      </c>
      <c r="BD6" s="11">
        <f>LEFT(TEXT(BD5,"ddd"),1)</f>
        <v/>
      </c>
      <c r="BE6" s="11">
        <f>LEFT(TEXT(BE5,"ddd"),1)</f>
        <v/>
      </c>
      <c r="BF6" s="11">
        <f>LEFT(TEXT(BF5,"ddd"),1)</f>
        <v/>
      </c>
      <c r="BG6" s="11">
        <f>LEFT(TEXT(BG5,"ddd"),1)</f>
        <v/>
      </c>
      <c r="BH6" s="11">
        <f>LEFT(TEXT(BH5,"ddd"),1)</f>
        <v/>
      </c>
      <c r="BI6" s="11">
        <f>LEFT(TEXT(BI5,"ddd"),1)</f>
        <v/>
      </c>
      <c r="BJ6" s="11">
        <f>LEFT(TEXT(BJ5,"ddd"),1)</f>
        <v/>
      </c>
      <c r="BK6" s="11">
        <f>LEFT(TEXT(BK5,"ddd"),1)</f>
        <v/>
      </c>
      <c r="BL6" s="11">
        <f>LEFT(TEXT(BL5,"ddd"),1)</f>
        <v/>
      </c>
    </row>
    <row r="7" ht="21.75" customFormat="1" customHeight="1" s="1" thickBot="1">
      <c r="A7" s="14" t="n"/>
      <c r="B7" s="15" t="n"/>
      <c r="C7" s="16" t="n"/>
      <c r="D7" s="17" t="n"/>
      <c r="E7" s="18" t="n"/>
      <c r="F7" s="19" t="n"/>
      <c r="G7" s="20" t="n"/>
      <c r="H7" s="20">
        <f>IF(OR(ISBLANK(task_start),ISBLANK(task_end)),"",task_end-task_start+1)</f>
        <v/>
      </c>
      <c r="I7" s="57" t="n"/>
      <c r="J7" s="57" t="n"/>
      <c r="K7" s="57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  <c r="AU7" s="57" t="n"/>
      <c r="AV7" s="57" t="n"/>
      <c r="AW7" s="57" t="n"/>
      <c r="AX7" s="57" t="n"/>
      <c r="AY7" s="57" t="n"/>
      <c r="AZ7" s="57" t="n"/>
      <c r="BA7" s="57" t="n"/>
      <c r="BB7" s="57" t="n"/>
      <c r="BC7" s="57" t="n"/>
      <c r="BD7" s="57" t="n"/>
      <c r="BE7" s="57" t="n"/>
      <c r="BF7" s="57" t="n"/>
      <c r="BG7" s="57" t="n"/>
      <c r="BH7" s="57" t="n"/>
      <c r="BI7" s="57" t="n"/>
      <c r="BJ7" s="57" t="n"/>
      <c r="BK7" s="57" t="n"/>
      <c r="BL7" s="57" t="n"/>
    </row>
    <row r="8" ht="21.75" customFormat="1" customHeight="1" s="1" thickBot="1">
      <c r="A8" s="14" t="n"/>
      <c r="B8" s="65" t="inlineStr">
        <is>
          <t>Phase 1: Inception &amp; Proposal Setup</t>
        </is>
      </c>
      <c r="C8" s="65" t="n"/>
      <c r="D8" s="21" t="n"/>
      <c r="E8" s="22" t="n"/>
      <c r="F8" s="23" t="n"/>
      <c r="G8" s="20" t="n"/>
      <c r="H8" s="20">
        <f>IF(OR(ISBLANK(task_start),ISBLANK(task_end)),"",task_end-task_start+1)</f>
        <v/>
      </c>
      <c r="I8" s="57" t="n"/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AU8" s="57" t="n"/>
      <c r="AV8" s="57" t="n"/>
      <c r="AW8" s="57" t="n"/>
      <c r="AX8" s="57" t="n"/>
      <c r="AY8" s="57" t="n"/>
      <c r="AZ8" s="57" t="n"/>
      <c r="BA8" s="57" t="n"/>
      <c r="BB8" s="57" t="n"/>
      <c r="BC8" s="57" t="n"/>
      <c r="BD8" s="57" t="n"/>
      <c r="BE8" s="57" t="n"/>
      <c r="BF8" s="57" t="n"/>
      <c r="BG8" s="57" t="n"/>
      <c r="BH8" s="57" t="n"/>
      <c r="BI8" s="57" t="n"/>
      <c r="BJ8" s="57" t="n"/>
      <c r="BK8" s="57" t="n"/>
      <c r="BL8" s="57" t="n"/>
    </row>
    <row r="9" ht="21.75" customFormat="1" customHeight="1" s="1" thickBot="1">
      <c r="A9" s="14" t="n"/>
      <c r="B9" s="66" t="inlineStr">
        <is>
          <t>Problem Definition &amp; DPDP/GDPR Regulatory Research</t>
        </is>
      </c>
      <c r="C9" s="66" t="inlineStr">
        <is>
          <t>Ishmanjot Singh</t>
        </is>
      </c>
      <c r="D9" s="24" t="n">
        <v>1</v>
      </c>
      <c r="E9" s="25" t="n">
        <v>46237</v>
      </c>
      <c r="F9" s="26" t="n">
        <v>46242</v>
      </c>
      <c r="G9" s="20" t="n"/>
      <c r="H9" s="20">
        <f>IF(OR(ISBLANK(task_start),ISBLANK(task_end)),"",task_end-task_start+1)</f>
        <v/>
      </c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AU9" s="57" t="n"/>
      <c r="AV9" s="57" t="n"/>
      <c r="AW9" s="57" t="n"/>
      <c r="AX9" s="57" t="n"/>
      <c r="AY9" s="57" t="n"/>
      <c r="AZ9" s="57" t="n"/>
      <c r="BA9" s="57" t="n"/>
      <c r="BB9" s="57" t="n"/>
      <c r="BC9" s="57" t="n"/>
      <c r="BD9" s="57" t="n"/>
      <c r="BE9" s="57" t="n"/>
      <c r="BF9" s="57" t="n"/>
      <c r="BG9" s="57" t="n"/>
      <c r="BH9" s="57" t="n"/>
      <c r="BI9" s="57" t="n"/>
      <c r="BJ9" s="57" t="n"/>
      <c r="BK9" s="57" t="n"/>
      <c r="BL9" s="57" t="n"/>
    </row>
    <row r="10" ht="21.75" customFormat="1" customHeight="1" s="1" thickBot="1">
      <c r="A10" s="14" t="n"/>
      <c r="B10" s="66" t="inlineStr">
        <is>
          <t>System Architecture &amp; Microservices Specification</t>
        </is>
      </c>
      <c r="C10" s="66" t="inlineStr">
        <is>
          <t>Prabhrajwin Singh</t>
        </is>
      </c>
      <c r="D10" s="24" t="n">
        <v>1</v>
      </c>
      <c r="E10" s="25" t="n">
        <v>46241</v>
      </c>
      <c r="F10" s="26" t="n">
        <v>46247</v>
      </c>
      <c r="G10" s="20" t="n"/>
      <c r="H10" s="20">
        <f>IF(OR(ISBLANK(task_start),ISBLANK(task_end)),"",task_end-task_start+1)</f>
        <v/>
      </c>
      <c r="I10" s="57" t="n"/>
      <c r="J10" s="57" t="n"/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8" t="n"/>
      <c r="V10" s="58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  <c r="AU10" s="57" t="n"/>
      <c r="AV10" s="57" t="n"/>
      <c r="AW10" s="57" t="n"/>
      <c r="AX10" s="57" t="n"/>
      <c r="AY10" s="57" t="n"/>
      <c r="AZ10" s="57" t="n"/>
      <c r="BA10" s="57" t="n"/>
      <c r="BB10" s="57" t="n"/>
      <c r="BC10" s="57" t="n"/>
      <c r="BD10" s="57" t="n"/>
      <c r="BE10" s="57" t="n"/>
      <c r="BF10" s="57" t="n"/>
      <c r="BG10" s="57" t="n"/>
      <c r="BH10" s="57" t="n"/>
      <c r="BI10" s="57" t="n"/>
      <c r="BJ10" s="57" t="n"/>
      <c r="BK10" s="57" t="n"/>
      <c r="BL10" s="57" t="n"/>
    </row>
    <row r="11" ht="21.75" customFormat="1" customHeight="1" s="1" thickBot="1">
      <c r="A11" s="14" t="n"/>
      <c r="B11" s="66" t="inlineStr">
        <is>
          <t>Git Repository Setup &amp; CI/CD GitHub Pages Deployment</t>
        </is>
      </c>
      <c r="C11" s="66" t="inlineStr">
        <is>
          <t>Naman Arora</t>
        </is>
      </c>
      <c r="D11" s="24" t="n">
        <v>1</v>
      </c>
      <c r="E11" s="25" t="n">
        <v>46244</v>
      </c>
      <c r="F11" s="26" t="n">
        <v>46249</v>
      </c>
      <c r="G11" s="20" t="n"/>
      <c r="H11" s="20">
        <f>IF(OR(ISBLANK(task_start),ISBLANK(task_end)),"",task_end-task_start+1)</f>
        <v/>
      </c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  <c r="AU11" s="57" t="n"/>
      <c r="AV11" s="57" t="n"/>
      <c r="AW11" s="57" t="n"/>
      <c r="AX11" s="57" t="n"/>
      <c r="AY11" s="57" t="n"/>
      <c r="AZ11" s="57" t="n"/>
      <c r="BA11" s="57" t="n"/>
      <c r="BB11" s="57" t="n"/>
      <c r="BC11" s="57" t="n"/>
      <c r="BD11" s="57" t="n"/>
      <c r="BE11" s="57" t="n"/>
      <c r="BF11" s="57" t="n"/>
      <c r="BG11" s="57" t="n"/>
      <c r="BH11" s="57" t="n"/>
      <c r="BI11" s="57" t="n"/>
      <c r="BJ11" s="57" t="n"/>
      <c r="BK11" s="57" t="n"/>
      <c r="BL11" s="57" t="n"/>
    </row>
    <row r="12" ht="21.75" customFormat="1" customHeight="1" s="1" thickBot="1">
      <c r="A12" s="14" t="n"/>
      <c r="B12" s="66" t="inlineStr">
        <is>
          <t>Pitch Slide Deck Design &amp; Presentation Materials</t>
        </is>
      </c>
      <c r="C12" s="66" t="inlineStr">
        <is>
          <t>Naman Arora</t>
        </is>
      </c>
      <c r="D12" s="24" t="n">
        <v>1</v>
      </c>
      <c r="E12" s="25" t="n">
        <v>46248</v>
      </c>
      <c r="F12" s="26" t="n">
        <v>46253</v>
      </c>
      <c r="G12" s="20" t="n"/>
      <c r="H12" s="20">
        <f>IF(OR(ISBLANK(task_start),ISBLANK(task_end)),"",task_end-task_start+1)</f>
        <v/>
      </c>
      <c r="I12" s="57" t="n"/>
      <c r="J12" s="57" t="n"/>
      <c r="K12" s="57" t="n"/>
      <c r="L12" s="57" t="n"/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8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  <c r="AU12" s="57" t="n"/>
      <c r="AV12" s="57" t="n"/>
      <c r="AW12" s="57" t="n"/>
      <c r="AX12" s="57" t="n"/>
      <c r="AY12" s="57" t="n"/>
      <c r="AZ12" s="57" t="n"/>
      <c r="BA12" s="57" t="n"/>
      <c r="BB12" s="57" t="n"/>
      <c r="BC12" s="57" t="n"/>
      <c r="BD12" s="57" t="n"/>
      <c r="BE12" s="57" t="n"/>
      <c r="BF12" s="57" t="n"/>
      <c r="BG12" s="57" t="n"/>
      <c r="BH12" s="57" t="n"/>
      <c r="BI12" s="57" t="n"/>
      <c r="BJ12" s="57" t="n"/>
      <c r="BK12" s="57" t="n"/>
      <c r="BL12" s="57" t="n"/>
    </row>
    <row r="13" ht="21.75" customFormat="1" customHeight="1" s="1" thickBot="1">
      <c r="A13" s="14" t="n"/>
      <c r="B13" s="66" t="inlineStr">
        <is>
          <t>Formal LaTeX Project Proposal &amp; TikZ Architecture Modeling</t>
        </is>
      </c>
      <c r="C13" s="66" t="inlineStr">
        <is>
          <t>Naman Arora</t>
        </is>
      </c>
      <c r="D13" s="24" t="n">
        <v>1</v>
      </c>
      <c r="E13" s="25" t="n">
        <v>46252</v>
      </c>
      <c r="F13" s="26" t="n">
        <v>46257</v>
      </c>
      <c r="G13" s="20" t="n"/>
      <c r="H13" s="20">
        <f>IF(OR(ISBLANK(task_start),ISBLANK(task_end)),"",task_end-task_start+1)</f>
        <v/>
      </c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AU13" s="57" t="n"/>
      <c r="AV13" s="57" t="n"/>
      <c r="AW13" s="57" t="n"/>
      <c r="AX13" s="57" t="n"/>
      <c r="AY13" s="57" t="n"/>
      <c r="AZ13" s="57" t="n"/>
      <c r="BA13" s="57" t="n"/>
      <c r="BB13" s="57" t="n"/>
      <c r="BC13" s="57" t="n"/>
      <c r="BD13" s="57" t="n"/>
      <c r="BE13" s="57" t="n"/>
      <c r="BF13" s="57" t="n"/>
      <c r="BG13" s="57" t="n"/>
      <c r="BH13" s="57" t="n"/>
      <c r="BI13" s="57" t="n"/>
      <c r="BJ13" s="57" t="n"/>
      <c r="BK13" s="57" t="n"/>
      <c r="BL13" s="57" t="n"/>
    </row>
    <row r="14" ht="21.75" customFormat="1" customHeight="1" s="1" thickBot="1">
      <c r="A14" s="14" t="n"/>
      <c r="B14" s="67" t="inlineStr">
        <is>
          <t>Phase 2: System Modeling &amp; Technical Design</t>
        </is>
      </c>
      <c r="C14" s="67" t="n"/>
      <c r="D14" s="27" t="n"/>
      <c r="E14" s="28" t="n"/>
      <c r="F14" s="29" t="n"/>
      <c r="G14" s="20" t="n"/>
      <c r="H14" s="20">
        <f>IF(OR(ISBLANK(task_start),ISBLANK(task_end)),"",task_end-task_start+1)</f>
        <v/>
      </c>
      <c r="I14" s="57" t="n"/>
      <c r="J14" s="57" t="n"/>
      <c r="K14" s="57" t="n"/>
      <c r="L14" s="57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AU14" s="57" t="n"/>
      <c r="AV14" s="57" t="n"/>
      <c r="AW14" s="57" t="n"/>
      <c r="AX14" s="57" t="n"/>
      <c r="AY14" s="57" t="n"/>
      <c r="AZ14" s="57" t="n"/>
      <c r="BA14" s="57" t="n"/>
      <c r="BB14" s="57" t="n"/>
      <c r="BC14" s="57" t="n"/>
      <c r="BD14" s="57" t="n"/>
      <c r="BE14" s="57" t="n"/>
      <c r="BF14" s="57" t="n"/>
      <c r="BG14" s="57" t="n"/>
      <c r="BH14" s="57" t="n"/>
      <c r="BI14" s="57" t="n"/>
      <c r="BJ14" s="57" t="n"/>
      <c r="BK14" s="57" t="n"/>
      <c r="BL14" s="57" t="n"/>
    </row>
    <row r="15" ht="21.75" customFormat="1" customHeight="1" s="1" thickBot="1">
      <c r="A15" s="14" t="n"/>
      <c r="B15" s="68" t="inlineStr">
        <is>
          <t>UML Use Case Diagram Engineering in TikZ</t>
        </is>
      </c>
      <c r="C15" s="68" t="inlineStr">
        <is>
          <t>Naman Arora</t>
        </is>
      </c>
      <c r="D15" s="30" t="n">
        <v>1</v>
      </c>
      <c r="E15" s="31" t="n">
        <v>46258</v>
      </c>
      <c r="F15" s="32" t="n">
        <v>46263</v>
      </c>
      <c r="G15" s="20" t="n"/>
      <c r="H15" s="20">
        <f>IF(OR(ISBLANK(task_start),ISBLANK(task_end)),"",task_end-task_start+1)</f>
        <v/>
      </c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  <c r="AU15" s="57" t="n"/>
      <c r="AV15" s="57" t="n"/>
      <c r="AW15" s="57" t="n"/>
      <c r="AX15" s="57" t="n"/>
      <c r="AY15" s="57" t="n"/>
      <c r="AZ15" s="57" t="n"/>
      <c r="BA15" s="57" t="n"/>
      <c r="BB15" s="57" t="n"/>
      <c r="BC15" s="57" t="n"/>
      <c r="BD15" s="57" t="n"/>
      <c r="BE15" s="57" t="n"/>
      <c r="BF15" s="57" t="n"/>
      <c r="BG15" s="57" t="n"/>
      <c r="BH15" s="57" t="n"/>
      <c r="BI15" s="57" t="n"/>
      <c r="BJ15" s="57" t="n"/>
      <c r="BK15" s="57" t="n"/>
      <c r="BL15" s="57" t="n"/>
    </row>
    <row r="16" ht="21.75" customFormat="1" customHeight="1" s="1" thickBot="1">
      <c r="A16" s="14" t="n"/>
      <c r="B16" s="68" t="inlineStr">
        <is>
          <t>3-Level Data Flow Diagrams (DFD Level 0, 1, 2) Design</t>
        </is>
      </c>
      <c r="C16" s="68" t="inlineStr">
        <is>
          <t>Naman Arora</t>
        </is>
      </c>
      <c r="D16" s="30" t="n">
        <v>1</v>
      </c>
      <c r="E16" s="31" t="n">
        <v>46259</v>
      </c>
      <c r="F16" s="32" t="n">
        <v>46264</v>
      </c>
      <c r="G16" s="20" t="n"/>
      <c r="H16" s="20">
        <f>IF(OR(ISBLANK(task_start),ISBLANK(task_end)),"",task_end-task_start+1)</f>
        <v/>
      </c>
      <c r="I16" s="57" t="n"/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8" t="n"/>
      <c r="V16" s="58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  <c r="AU16" s="57" t="n"/>
      <c r="AV16" s="57" t="n"/>
      <c r="AW16" s="57" t="n"/>
      <c r="AX16" s="57" t="n"/>
      <c r="AY16" s="57" t="n"/>
      <c r="AZ16" s="57" t="n"/>
      <c r="BA16" s="57" t="n"/>
      <c r="BB16" s="57" t="n"/>
      <c r="BC16" s="57" t="n"/>
      <c r="BD16" s="57" t="n"/>
      <c r="BE16" s="57" t="n"/>
      <c r="BF16" s="57" t="n"/>
      <c r="BG16" s="57" t="n"/>
      <c r="BH16" s="57" t="n"/>
      <c r="BI16" s="57" t="n"/>
      <c r="BJ16" s="57" t="n"/>
      <c r="BK16" s="57" t="n"/>
      <c r="BL16" s="57" t="n"/>
    </row>
    <row r="17" ht="21.75" customFormat="1" customHeight="1" s="1" thickBot="1">
      <c r="A17" s="14" t="n"/>
      <c r="B17" s="68" t="inlineStr">
        <is>
          <t>PostgreSQL Relational Database Schema &amp; Entities Design</t>
        </is>
      </c>
      <c r="C17" s="68" t="inlineStr">
        <is>
          <t>Prabhrajwin Singh</t>
        </is>
      </c>
      <c r="D17" s="30" t="n">
        <v>1</v>
      </c>
      <c r="E17" s="31" t="n">
        <v>46262</v>
      </c>
      <c r="F17" s="32" t="n">
        <v>46267</v>
      </c>
      <c r="G17" s="20" t="n"/>
      <c r="H17" s="20">
        <f>IF(OR(ISBLANK(task_start),ISBLANK(task_end)),"",task_end-task_start+1)</f>
        <v/>
      </c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  <c r="AU17" s="57" t="n"/>
      <c r="AV17" s="57" t="n"/>
      <c r="AW17" s="57" t="n"/>
      <c r="AX17" s="57" t="n"/>
      <c r="AY17" s="57" t="n"/>
      <c r="AZ17" s="57" t="n"/>
      <c r="BA17" s="57" t="n"/>
      <c r="BB17" s="57" t="n"/>
      <c r="BC17" s="57" t="n"/>
      <c r="BD17" s="57" t="n"/>
      <c r="BE17" s="57" t="n"/>
      <c r="BF17" s="57" t="n"/>
      <c r="BG17" s="57" t="n"/>
      <c r="BH17" s="57" t="n"/>
      <c r="BI17" s="57" t="n"/>
      <c r="BJ17" s="57" t="n"/>
      <c r="BK17" s="57" t="n"/>
      <c r="BL17" s="57" t="n"/>
    </row>
    <row r="18" ht="21.75" customFormat="1" customHeight="1" s="1" thickBot="1">
      <c r="A18" s="14" t="n"/>
      <c r="B18" s="68" t="inlineStr">
        <is>
          <t>Legal Clause Taxonomy &amp; Discrepancy Matrix Definition</t>
        </is>
      </c>
      <c r="C18" s="68" t="inlineStr">
        <is>
          <t>Ishmanjot Singh</t>
        </is>
      </c>
      <c r="D18" s="30" t="n">
        <v>1</v>
      </c>
      <c r="E18" s="31" t="n">
        <v>46264</v>
      </c>
      <c r="F18" s="32" t="n">
        <v>46269</v>
      </c>
      <c r="G18" s="20" t="n"/>
      <c r="H18" s="20">
        <f>IF(OR(ISBLANK(task_start),ISBLANK(task_end)),"",task_end-task_start+1)</f>
        <v/>
      </c>
      <c r="I18" s="57" t="n"/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8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AU18" s="57" t="n"/>
      <c r="AV18" s="57" t="n"/>
      <c r="AW18" s="57" t="n"/>
      <c r="AX18" s="57" t="n"/>
      <c r="AY18" s="57" t="n"/>
      <c r="AZ18" s="57" t="n"/>
      <c r="BA18" s="57" t="n"/>
      <c r="BB18" s="57" t="n"/>
      <c r="BC18" s="57" t="n"/>
      <c r="BD18" s="57" t="n"/>
      <c r="BE18" s="57" t="n"/>
      <c r="BF18" s="57" t="n"/>
      <c r="BG18" s="57" t="n"/>
      <c r="BH18" s="57" t="n"/>
      <c r="BI18" s="57" t="n"/>
      <c r="BJ18" s="57" t="n"/>
      <c r="BK18" s="57" t="n"/>
      <c r="BL18" s="57" t="n"/>
    </row>
    <row r="19" ht="21.75" customFormat="1" customHeight="1" s="1" thickBot="1">
      <c r="A19" s="14" t="n"/>
      <c r="B19" s="68" t="inlineStr">
        <is>
          <t>Project Master Schedule &amp; Gantt Tracking Setup</t>
        </is>
      </c>
      <c r="C19" s="68" t="inlineStr">
        <is>
          <t>Naman Arora</t>
        </is>
      </c>
      <c r="D19" s="30" t="n">
        <v>1</v>
      </c>
      <c r="E19" s="31" t="n">
        <v>46267</v>
      </c>
      <c r="F19" s="32" t="n">
        <v>46271</v>
      </c>
      <c r="G19" s="20" t="n"/>
      <c r="H19" s="20">
        <f>IF(OR(ISBLANK(task_start),ISBLANK(task_end)),"",task_end-task_start+1)</f>
        <v/>
      </c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AU19" s="57" t="n"/>
      <c r="AV19" s="57" t="n"/>
      <c r="AW19" s="57" t="n"/>
      <c r="AX19" s="57" t="n"/>
      <c r="AY19" s="57" t="n"/>
      <c r="AZ19" s="57" t="n"/>
      <c r="BA19" s="57" t="n"/>
      <c r="BB19" s="57" t="n"/>
      <c r="BC19" s="57" t="n"/>
      <c r="BD19" s="57" t="n"/>
      <c r="BE19" s="57" t="n"/>
      <c r="BF19" s="57" t="n"/>
      <c r="BG19" s="57" t="n"/>
      <c r="BH19" s="57" t="n"/>
      <c r="BI19" s="57" t="n"/>
      <c r="BJ19" s="57" t="n"/>
      <c r="BK19" s="57" t="n"/>
      <c r="BL19" s="57" t="n"/>
    </row>
    <row r="20" ht="21.75" customFormat="1" customHeight="1" s="1" thickBot="1">
      <c r="A20" s="14" t="n"/>
      <c r="B20" s="69" t="inlineStr">
        <is>
          <t>Phase 3: Engine Prototyping &amp; Backend Core</t>
        </is>
      </c>
      <c r="C20" s="69" t="n"/>
      <c r="D20" s="33" t="n"/>
      <c r="E20" s="34" t="n"/>
      <c r="F20" s="35" t="n"/>
      <c r="G20" s="20" t="n"/>
      <c r="H20" s="20">
        <f>IF(OR(ISBLANK(task_start),ISBLANK(task_end)),"",task_end-task_start+1)</f>
        <v/>
      </c>
      <c r="I20" s="57" t="n"/>
      <c r="J20" s="57" t="n"/>
      <c r="K20" s="57" t="n"/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  <c r="AU20" s="57" t="n"/>
      <c r="AV20" s="57" t="n"/>
      <c r="AW20" s="57" t="n"/>
      <c r="AX20" s="57" t="n"/>
      <c r="AY20" s="57" t="n"/>
      <c r="AZ20" s="57" t="n"/>
      <c r="BA20" s="57" t="n"/>
      <c r="BB20" s="57" t="n"/>
      <c r="BC20" s="57" t="n"/>
      <c r="BD20" s="57" t="n"/>
      <c r="BE20" s="57" t="n"/>
      <c r="BF20" s="57" t="n"/>
      <c r="BG20" s="57" t="n"/>
      <c r="BH20" s="57" t="n"/>
      <c r="BI20" s="57" t="n"/>
      <c r="BJ20" s="57" t="n"/>
      <c r="BK20" s="57" t="n"/>
      <c r="BL20" s="57" t="n"/>
    </row>
    <row r="21" ht="21.75" customFormat="1" customHeight="1" s="1" thickBot="1">
      <c r="A21" s="14" t="n"/>
      <c r="B21" s="70" t="inlineStr">
        <is>
          <t>Headless Crawler &amp; Network Traffic Interceptor (Puppeteer)</t>
        </is>
      </c>
      <c r="C21" s="70" t="inlineStr">
        <is>
          <t>Prabhrajwin Singh</t>
        </is>
      </c>
      <c r="D21" s="36" t="n">
        <v>0.85</v>
      </c>
      <c r="E21" s="37" t="n">
        <v>46272</v>
      </c>
      <c r="F21" s="38" t="n">
        <v>46283</v>
      </c>
      <c r="G21" s="20" t="n"/>
      <c r="H21" s="20">
        <f>IF(OR(ISBLANK(task_start),ISBLANK(task_end)),"",task_end-task_start+1)</f>
        <v/>
      </c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  <c r="AU21" s="57" t="n"/>
      <c r="AV21" s="57" t="n"/>
      <c r="AW21" s="57" t="n"/>
      <c r="AX21" s="57" t="n"/>
      <c r="AY21" s="57" t="n"/>
      <c r="AZ21" s="57" t="n"/>
      <c r="BA21" s="57" t="n"/>
      <c r="BB21" s="57" t="n"/>
      <c r="BC21" s="57" t="n"/>
      <c r="BD21" s="57" t="n"/>
      <c r="BE21" s="57" t="n"/>
      <c r="BF21" s="57" t="n"/>
      <c r="BG21" s="57" t="n"/>
      <c r="BH21" s="57" t="n"/>
      <c r="BI21" s="57" t="n"/>
      <c r="BJ21" s="57" t="n"/>
      <c r="BK21" s="57" t="n"/>
      <c r="BL21" s="57" t="n"/>
    </row>
    <row r="22" ht="21.75" customFormat="1" customHeight="1" s="1" thickBot="1">
      <c r="A22" s="14" t="n"/>
      <c r="B22" s="70" t="inlineStr">
        <is>
          <t>Asynchronous Job Queue &amp; Worker Pipeline (Redis/Bull)</t>
        </is>
      </c>
      <c r="C22" s="70" t="inlineStr">
        <is>
          <t>Prabhrajwin Singh</t>
        </is>
      </c>
      <c r="D22" s="36" t="n">
        <v>0.35</v>
      </c>
      <c r="E22" s="37" t="n">
        <v>46279</v>
      </c>
      <c r="F22" s="38" t="n">
        <v>46289</v>
      </c>
      <c r="G22" s="20" t="n"/>
      <c r="H22" s="20">
        <f>IF(OR(ISBLANK(task_start),ISBLANK(task_end)),"",task_end-task_start+1)</f>
        <v/>
      </c>
      <c r="I22" s="57" t="n"/>
      <c r="J22" s="57" t="n"/>
      <c r="K22" s="57" t="n"/>
      <c r="L22" s="57" t="n"/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  <c r="AU22" s="57" t="n"/>
      <c r="AV22" s="57" t="n"/>
      <c r="AW22" s="57" t="n"/>
      <c r="AX22" s="57" t="n"/>
      <c r="AY22" s="57" t="n"/>
      <c r="AZ22" s="57" t="n"/>
      <c r="BA22" s="57" t="n"/>
      <c r="BB22" s="57" t="n"/>
      <c r="BC22" s="57" t="n"/>
      <c r="BD22" s="57" t="n"/>
      <c r="BE22" s="57" t="n"/>
      <c r="BF22" s="57" t="n"/>
      <c r="BG22" s="57" t="n"/>
      <c r="BH22" s="57" t="n"/>
      <c r="BI22" s="57" t="n"/>
      <c r="BJ22" s="57" t="n"/>
      <c r="BK22" s="57" t="n"/>
      <c r="BL22" s="57" t="n"/>
    </row>
    <row r="23" ht="21.75" customFormat="1" customHeight="1" s="1" thickBot="1">
      <c r="A23" s="14" t="n"/>
      <c r="B23" s="70" t="inlineStr">
        <is>
          <t>Privacy Policy Scraper &amp; NLP Parser (SpaCy Pipeline)</t>
        </is>
      </c>
      <c r="C23" s="70" t="inlineStr">
        <is>
          <t>Ishmanjot Singh</t>
        </is>
      </c>
      <c r="D23" s="36" t="n">
        <v>0.55</v>
      </c>
      <c r="E23" s="37" t="n">
        <v>46277</v>
      </c>
      <c r="F23" s="38" t="n">
        <v>46290</v>
      </c>
      <c r="G23" s="20" t="n"/>
      <c r="H23" s="20">
        <f>IF(OR(ISBLANK(task_start),ISBLANK(task_end)),"",task_end-task_start+1)</f>
        <v/>
      </c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AU23" s="57" t="n"/>
      <c r="AV23" s="57" t="n"/>
      <c r="AW23" s="57" t="n"/>
      <c r="AX23" s="57" t="n"/>
      <c r="AY23" s="57" t="n"/>
      <c r="AZ23" s="57" t="n"/>
      <c r="BA23" s="57" t="n"/>
      <c r="BB23" s="57" t="n"/>
      <c r="BC23" s="57" t="n"/>
      <c r="BD23" s="57" t="n"/>
      <c r="BE23" s="57" t="n"/>
      <c r="BF23" s="57" t="n"/>
      <c r="BG23" s="57" t="n"/>
      <c r="BH23" s="57" t="n"/>
      <c r="BI23" s="57" t="n"/>
      <c r="BJ23" s="57" t="n"/>
      <c r="BK23" s="57" t="n"/>
      <c r="BL23" s="57" t="n"/>
    </row>
    <row r="24" ht="21.75" customFormat="1" customHeight="1" s="1" thickBot="1">
      <c r="A24" s="14" t="n"/>
      <c r="B24" s="70" t="inlineStr">
        <is>
          <t>Frontend UI Dashboard &amp; Scan Submission (Next.js/Tailwind)</t>
        </is>
      </c>
      <c r="C24" s="70" t="inlineStr">
        <is>
          <t>Naman Arora</t>
        </is>
      </c>
      <c r="D24" s="36" t="n">
        <v>0.8</v>
      </c>
      <c r="E24" s="37" t="n">
        <v>46274</v>
      </c>
      <c r="F24" s="38" t="n">
        <v>46293</v>
      </c>
      <c r="G24" s="20" t="n"/>
      <c r="H24" s="20">
        <f>IF(OR(ISBLANK(task_start),ISBLANK(task_end)),"",task_end-task_start+1)</f>
        <v/>
      </c>
      <c r="I24" s="57" t="n"/>
      <c r="J24" s="57" t="n"/>
      <c r="K24" s="57" t="n"/>
      <c r="L24" s="57" t="n"/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AU24" s="57" t="n"/>
      <c r="AV24" s="57" t="n"/>
      <c r="AW24" s="57" t="n"/>
      <c r="AX24" s="57" t="n"/>
      <c r="AY24" s="57" t="n"/>
      <c r="AZ24" s="57" t="n"/>
      <c r="BA24" s="57" t="n"/>
      <c r="BB24" s="57" t="n"/>
      <c r="BC24" s="57" t="n"/>
      <c r="BD24" s="57" t="n"/>
      <c r="BE24" s="57" t="n"/>
      <c r="BF24" s="57" t="n"/>
      <c r="BG24" s="57" t="n"/>
      <c r="BH24" s="57" t="n"/>
      <c r="BI24" s="57" t="n"/>
      <c r="BJ24" s="57" t="n"/>
      <c r="BK24" s="57" t="n"/>
      <c r="BL24" s="57" t="n"/>
    </row>
    <row r="25" ht="21.75" customFormat="1" customHeight="1" s="1" thickBot="1">
      <c r="A25" s="14" t="n"/>
      <c r="B25" s="70" t="inlineStr">
        <is>
          <t>Prototype Integration Milestone &amp; Mid-Evaluation Prep</t>
        </is>
      </c>
      <c r="C25" s="70" t="inlineStr">
        <is>
          <t>Naman Arora</t>
        </is>
      </c>
      <c r="D25" s="36" t="n">
        <v>0.65</v>
      </c>
      <c r="E25" s="37" t="n">
        <v>46291</v>
      </c>
      <c r="F25" s="38" t="n">
        <v>46299</v>
      </c>
      <c r="G25" s="20" t="n"/>
      <c r="H25" s="20">
        <f>IF(OR(ISBLANK(task_start),ISBLANK(task_end)),"",task_end-task_start+1)</f>
        <v/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  <c r="AU25" s="57" t="n"/>
      <c r="AV25" s="57" t="n"/>
      <c r="AW25" s="57" t="n"/>
      <c r="AX25" s="57" t="n"/>
      <c r="AY25" s="57" t="n"/>
      <c r="AZ25" s="57" t="n"/>
      <c r="BA25" s="57" t="n"/>
      <c r="BB25" s="57" t="n"/>
      <c r="BC25" s="57" t="n"/>
      <c r="BD25" s="57" t="n"/>
      <c r="BE25" s="57" t="n"/>
      <c r="BF25" s="57" t="n"/>
      <c r="BG25" s="57" t="n"/>
      <c r="BH25" s="57" t="n"/>
      <c r="BI25" s="57" t="n"/>
      <c r="BJ25" s="57" t="n"/>
      <c r="BK25" s="57" t="n"/>
      <c r="BL25" s="57" t="n"/>
    </row>
    <row r="26" ht="21.75" customFormat="1" customHeight="1" s="1" thickBot="1">
      <c r="A26" s="14" t="n"/>
      <c r="B26" s="71" t="inlineStr">
        <is>
          <t>Phase 4: Compliance Scoring &amp; Advanced Auditing</t>
        </is>
      </c>
      <c r="C26" s="71" t="n"/>
      <c r="D26" s="39" t="n"/>
      <c r="E26" s="40" t="n"/>
      <c r="F26" s="41" t="n"/>
      <c r="G26" s="20" t="n"/>
      <c r="H26" s="20">
        <f>IF(OR(ISBLANK(task_start),ISBLANK(task_end)),"",task_end-task_start+1)</f>
        <v/>
      </c>
      <c r="I26" s="57" t="n"/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  <c r="AU26" s="57" t="n"/>
      <c r="AV26" s="57" t="n"/>
      <c r="AW26" s="57" t="n"/>
      <c r="AX26" s="57" t="n"/>
      <c r="AY26" s="57" t="n"/>
      <c r="AZ26" s="57" t="n"/>
      <c r="BA26" s="57" t="n"/>
      <c r="BB26" s="57" t="n"/>
      <c r="BC26" s="57" t="n"/>
      <c r="BD26" s="57" t="n"/>
      <c r="BE26" s="57" t="n"/>
      <c r="BF26" s="57" t="n"/>
      <c r="BG26" s="57" t="n"/>
      <c r="BH26" s="57" t="n"/>
      <c r="BI26" s="57" t="n"/>
      <c r="BJ26" s="57" t="n"/>
      <c r="BK26" s="57" t="n"/>
      <c r="BL26" s="57" t="n"/>
    </row>
    <row r="27" ht="21.75" customFormat="1" customHeight="1" s="1" thickBot="1">
      <c r="A27" s="14" t="n"/>
      <c r="B27" s="72" t="inlineStr">
        <is>
          <t>Automated PII &amp; Cookie Exfiltration Detection Engine</t>
        </is>
      </c>
      <c r="C27" s="72" t="inlineStr">
        <is>
          <t>Prabhrajwin Singh</t>
        </is>
      </c>
      <c r="D27" s="42" t="n">
        <v>0</v>
      </c>
      <c r="E27" s="43" t="n">
        <v>46300</v>
      </c>
      <c r="F27" s="44" t="n">
        <v>46309</v>
      </c>
      <c r="G27" s="20" t="n"/>
      <c r="H27" s="20">
        <f>IF(OR(ISBLANK(task_start),ISBLANK(task_end)),"",task_end-task_start+1)</f>
        <v/>
      </c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  <c r="AU27" s="57" t="n"/>
      <c r="AV27" s="57" t="n"/>
      <c r="AW27" s="57" t="n"/>
      <c r="AX27" s="57" t="n"/>
      <c r="AY27" s="57" t="n"/>
      <c r="AZ27" s="57" t="n"/>
      <c r="BA27" s="57" t="n"/>
      <c r="BB27" s="57" t="n"/>
      <c r="BC27" s="57" t="n"/>
      <c r="BD27" s="57" t="n"/>
      <c r="BE27" s="57" t="n"/>
      <c r="BF27" s="57" t="n"/>
      <c r="BG27" s="57" t="n"/>
      <c r="BH27" s="57" t="n"/>
      <c r="BI27" s="57" t="n"/>
      <c r="BJ27" s="57" t="n"/>
      <c r="BK27" s="57" t="n"/>
      <c r="BL27" s="57" t="n"/>
    </row>
    <row r="28" ht="21.75" customFormat="1" customHeight="1" s="1" thickBot="1">
      <c r="A28" s="14" t="n"/>
      <c r="B28" s="72" t="inlineStr">
        <is>
          <t>Policy-to-Runtime Discrepancy Matching Algorithm</t>
        </is>
      </c>
      <c r="C28" s="72" t="inlineStr">
        <is>
          <t>Ishmanjot Singh</t>
        </is>
      </c>
      <c r="D28" s="42" t="n">
        <v>0</v>
      </c>
      <c r="E28" s="43" t="n">
        <v>46304</v>
      </c>
      <c r="F28" s="44" t="n">
        <v>46313</v>
      </c>
      <c r="G28" s="20" t="n"/>
      <c r="H28" s="20">
        <f>IF(OR(ISBLANK(task_start),ISBLANK(task_end)),"",task_end-task_start+1)</f>
        <v/>
      </c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AU28" s="57" t="n"/>
      <c r="AV28" s="57" t="n"/>
      <c r="AW28" s="57" t="n"/>
      <c r="AX28" s="57" t="n"/>
      <c r="AY28" s="57" t="n"/>
      <c r="AZ28" s="57" t="n"/>
      <c r="BA28" s="57" t="n"/>
      <c r="BB28" s="57" t="n"/>
      <c r="BC28" s="57" t="n"/>
      <c r="BD28" s="57" t="n"/>
      <c r="BE28" s="57" t="n"/>
      <c r="BF28" s="57" t="n"/>
      <c r="BG28" s="57" t="n"/>
      <c r="BH28" s="57" t="n"/>
      <c r="BI28" s="57" t="n"/>
      <c r="BJ28" s="57" t="n"/>
      <c r="BK28" s="57" t="n"/>
      <c r="BL28" s="57" t="n"/>
    </row>
    <row r="29" ht="21.75" customFormat="1" customHeight="1" s="1" thickBot="1">
      <c r="A29" s="14" t="n"/>
      <c r="B29" s="72" t="inlineStr">
        <is>
          <t>Interactive Compliance Scorecard &amp; Remediation Portal</t>
        </is>
      </c>
      <c r="C29" s="72" t="inlineStr">
        <is>
          <t>Naman Arora</t>
        </is>
      </c>
      <c r="D29" s="42" t="n">
        <v>0</v>
      </c>
      <c r="E29" s="43" t="n">
        <v>46307</v>
      </c>
      <c r="F29" s="44" t="n">
        <v>46317</v>
      </c>
      <c r="G29" s="20" t="n"/>
      <c r="H29" s="20">
        <f>IF(OR(ISBLANK(task_start),ISBLANK(task_end)),"",task_end-task_start+1)</f>
        <v/>
      </c>
      <c r="I29" s="57" t="n"/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AU29" s="57" t="n"/>
      <c r="AV29" s="57" t="n"/>
      <c r="AW29" s="57" t="n"/>
      <c r="AX29" s="57" t="n"/>
      <c r="AY29" s="57" t="n"/>
      <c r="AZ29" s="57" t="n"/>
      <c r="BA29" s="57" t="n"/>
      <c r="BB29" s="57" t="n"/>
      <c r="BC29" s="57" t="n"/>
      <c r="BD29" s="57" t="n"/>
      <c r="BE29" s="57" t="n"/>
      <c r="BF29" s="57" t="n"/>
      <c r="BG29" s="57" t="n"/>
      <c r="BH29" s="57" t="n"/>
      <c r="BI29" s="57" t="n"/>
      <c r="BJ29" s="57" t="n"/>
      <c r="BK29" s="57" t="n"/>
      <c r="BL29" s="57" t="n"/>
    </row>
    <row r="30" ht="21.75" customFormat="1" customHeight="1" s="1" thickBot="1">
      <c r="A30" s="14" t="n"/>
      <c r="B30" s="72" t="inlineStr">
        <is>
          <t>Automated PDF Compliance Audit Report Generation</t>
        </is>
      </c>
      <c r="C30" s="72" t="inlineStr">
        <is>
          <t>Naman Arora</t>
        </is>
      </c>
      <c r="D30" s="42" t="n">
        <v>0</v>
      </c>
      <c r="E30" s="43" t="n">
        <v>46311</v>
      </c>
      <c r="F30" s="44" t="n">
        <v>46319</v>
      </c>
      <c r="G30" s="20" t="n"/>
      <c r="H30" s="20">
        <f>IF(OR(ISBLANK(task_start),ISBLANK(task_end)),"",task_end-task_start+1)</f>
        <v/>
      </c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  <c r="AU30" s="57" t="n"/>
      <c r="AV30" s="57" t="n"/>
      <c r="AW30" s="57" t="n"/>
      <c r="AX30" s="57" t="n"/>
      <c r="AY30" s="57" t="n"/>
      <c r="AZ30" s="57" t="n"/>
      <c r="BA30" s="57" t="n"/>
      <c r="BB30" s="57" t="n"/>
      <c r="BC30" s="57" t="n"/>
      <c r="BD30" s="57" t="n"/>
      <c r="BE30" s="57" t="n"/>
      <c r="BF30" s="57" t="n"/>
      <c r="BG30" s="57" t="n"/>
      <c r="BH30" s="57" t="n"/>
      <c r="BI30" s="57" t="n"/>
      <c r="BJ30" s="57" t="n"/>
      <c r="BK30" s="57" t="n"/>
      <c r="BL30" s="57" t="n"/>
    </row>
    <row r="31" ht="21.75" customFormat="1" customHeight="1" s="1" thickBot="1">
      <c r="A31" s="14" t="n"/>
      <c r="B31" s="72" t="inlineStr">
        <is>
          <t>REST API Hardening, Error Handling &amp; Logging Middleware</t>
        </is>
      </c>
      <c r="C31" s="72" t="inlineStr">
        <is>
          <t>Prabhrajwin Singh</t>
        </is>
      </c>
      <c r="D31" s="42" t="n">
        <v>0</v>
      </c>
      <c r="E31" s="43" t="n">
        <v>46313</v>
      </c>
      <c r="F31" s="44" t="n">
        <v>46320</v>
      </c>
      <c r="G31" s="20" t="n"/>
      <c r="H31" s="20">
        <f>IF(OR(ISBLANK(task_start),ISBLANK(task_end)),"",task_end-task_start+1)</f>
        <v/>
      </c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AU31" s="57" t="n"/>
      <c r="AV31" s="57" t="n"/>
      <c r="AW31" s="57" t="n"/>
      <c r="AX31" s="57" t="n"/>
      <c r="AY31" s="57" t="n"/>
      <c r="AZ31" s="57" t="n"/>
      <c r="BA31" s="57" t="n"/>
      <c r="BB31" s="57" t="n"/>
      <c r="BC31" s="57" t="n"/>
      <c r="BD31" s="57" t="n"/>
      <c r="BE31" s="57" t="n"/>
      <c r="BF31" s="57" t="n"/>
      <c r="BG31" s="57" t="n"/>
      <c r="BH31" s="57" t="n"/>
      <c r="BI31" s="57" t="n"/>
      <c r="BJ31" s="57" t="n"/>
      <c r="BK31" s="57" t="n"/>
      <c r="BL31" s="57" t="n"/>
    </row>
    <row r="32" ht="21.75" customFormat="1" customHeight="1" s="1" thickBot="1">
      <c r="A32" s="14" t="n"/>
      <c r="B32" s="73" t="inlineStr">
        <is>
          <t>Phase 5: Testing, Documentation &amp; Final Delivery</t>
        </is>
      </c>
      <c r="C32" s="73" t="n"/>
      <c r="D32" s="45" t="n"/>
      <c r="E32" s="46" t="n"/>
      <c r="F32" s="47" t="n"/>
      <c r="G32" s="20" t="n"/>
      <c r="H32" s="20">
        <f>IF(OR(ISBLANK(task_start),ISBLANK(task_end)),"",task_end-task_start+1)</f>
        <v/>
      </c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AU32" s="57" t="n"/>
      <c r="AV32" s="57" t="n"/>
      <c r="AW32" s="57" t="n"/>
      <c r="AX32" s="57" t="n"/>
      <c r="AY32" s="57" t="n"/>
      <c r="AZ32" s="57" t="n"/>
      <c r="BA32" s="57" t="n"/>
      <c r="BB32" s="57" t="n"/>
      <c r="BC32" s="57" t="n"/>
      <c r="BD32" s="57" t="n"/>
      <c r="BE32" s="57" t="n"/>
      <c r="BF32" s="57" t="n"/>
      <c r="BG32" s="57" t="n"/>
      <c r="BH32" s="57" t="n"/>
      <c r="BI32" s="57" t="n"/>
      <c r="BJ32" s="57" t="n"/>
      <c r="BK32" s="57" t="n"/>
      <c r="BL32" s="57" t="n"/>
    </row>
    <row r="33" ht="21.75" customFormat="1" customHeight="1" s="1" thickBot="1">
      <c r="A33" s="14" t="n"/>
      <c r="B33" s="74" t="inlineStr">
        <is>
          <t>System Integration &amp; End-to-End Crawler Testing</t>
        </is>
      </c>
      <c r="C33" s="74" t="inlineStr">
        <is>
          <t>Prabhrajwin Singh</t>
        </is>
      </c>
      <c r="D33" s="48" t="n">
        <v>0</v>
      </c>
      <c r="E33" s="49" t="n">
        <v>46321</v>
      </c>
      <c r="F33" s="50" t="n">
        <v>46330</v>
      </c>
      <c r="G33" s="20" t="n"/>
      <c r="H33" s="20">
        <f>IF(OR(ISBLANK(task_start),ISBLANK(task_end)),"",task_end-task_start+1)</f>
        <v/>
      </c>
      <c r="I33" s="57" t="n"/>
      <c r="J33" s="57" t="n"/>
      <c r="K33" s="57" t="n"/>
      <c r="L33" s="57" t="n"/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AU33" s="57" t="n"/>
      <c r="AV33" s="57" t="n"/>
      <c r="AW33" s="57" t="n"/>
      <c r="AX33" s="57" t="n"/>
      <c r="AY33" s="57" t="n"/>
      <c r="AZ33" s="57" t="n"/>
      <c r="BA33" s="57" t="n"/>
      <c r="BB33" s="57" t="n"/>
      <c r="BC33" s="57" t="n"/>
      <c r="BD33" s="57" t="n"/>
      <c r="BE33" s="57" t="n"/>
      <c r="BF33" s="57" t="n"/>
      <c r="BG33" s="57" t="n"/>
      <c r="BH33" s="57" t="n"/>
      <c r="BI33" s="57" t="n"/>
      <c r="BJ33" s="57" t="n"/>
      <c r="BK33" s="57" t="n"/>
      <c r="BL33" s="57" t="n"/>
    </row>
    <row r="34" ht="21.75" customFormat="1" customHeight="1" s="1" thickBot="1">
      <c r="A34" s="14" t="n"/>
      <c r="B34" s="74" t="inlineStr">
        <is>
          <t>NLP Model Evaluation (Accuracy, Precision &amp; Recall Benchmarks)</t>
        </is>
      </c>
      <c r="C34" s="74" t="inlineStr">
        <is>
          <t>Ishmanjot Singh</t>
        </is>
      </c>
      <c r="D34" s="48" t="n">
        <v>0</v>
      </c>
      <c r="E34" s="49" t="n">
        <v>46325</v>
      </c>
      <c r="F34" s="50" t="n">
        <v>46334</v>
      </c>
      <c r="G34" s="20" t="n"/>
      <c r="H34" s="20">
        <f>IF(OR(ISBLANK(task_start),ISBLANK(task_end)),"",task_end-task_start+1)</f>
        <v/>
      </c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AU34" s="57" t="n"/>
      <c r="AV34" s="57" t="n"/>
      <c r="AW34" s="57" t="n"/>
      <c r="AX34" s="57" t="n"/>
      <c r="AY34" s="57" t="n"/>
      <c r="AZ34" s="57" t="n"/>
      <c r="BA34" s="57" t="n"/>
      <c r="BB34" s="57" t="n"/>
      <c r="BC34" s="57" t="n"/>
      <c r="BD34" s="57" t="n"/>
      <c r="BE34" s="57" t="n"/>
      <c r="BF34" s="57" t="n"/>
      <c r="BG34" s="57" t="n"/>
      <c r="BH34" s="57" t="n"/>
      <c r="BI34" s="57" t="n"/>
      <c r="BJ34" s="57" t="n"/>
      <c r="BK34" s="57" t="n"/>
      <c r="BL34" s="57" t="n"/>
    </row>
    <row r="35" ht="21.75" customFormat="1" customHeight="1" s="1" thickBot="1">
      <c r="A35" s="14" t="n"/>
      <c r="B35" s="74" t="inlineStr">
        <is>
          <t>Production Dockerization, Cloud Deployment &amp; UI Polishing</t>
        </is>
      </c>
      <c r="C35" s="74" t="inlineStr">
        <is>
          <t>Naman Arora</t>
        </is>
      </c>
      <c r="D35" s="48" t="n">
        <v>0</v>
      </c>
      <c r="E35" s="49" t="n">
        <v>46329</v>
      </c>
      <c r="F35" s="50" t="n">
        <v>46339</v>
      </c>
      <c r="G35" s="20" t="n"/>
      <c r="H35" s="20">
        <f>IF(OR(ISBLANK(task_start),ISBLANK(task_end)),"",task_end-task_start+1)</f>
        <v/>
      </c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  <c r="AU35" s="57" t="n"/>
      <c r="AV35" s="57" t="n"/>
      <c r="AW35" s="57" t="n"/>
      <c r="AX35" s="57" t="n"/>
      <c r="AY35" s="57" t="n"/>
      <c r="AZ35" s="57" t="n"/>
      <c r="BA35" s="57" t="n"/>
      <c r="BB35" s="57" t="n"/>
      <c r="BC35" s="57" t="n"/>
      <c r="BD35" s="57" t="n"/>
      <c r="BE35" s="57" t="n"/>
      <c r="BF35" s="57" t="n"/>
      <c r="BG35" s="57" t="n"/>
      <c r="BH35" s="57" t="n"/>
      <c r="BI35" s="57" t="n"/>
      <c r="BJ35" s="57" t="n"/>
      <c r="BK35" s="57" t="n"/>
      <c r="BL35" s="57" t="n"/>
    </row>
    <row r="36" ht="21.75" customFormat="1" customHeight="1" s="1" thickBot="1">
      <c r="A36" s="14" t="n"/>
      <c r="B36" s="74" t="inlineStr">
        <is>
          <t>Comprehensive LaTeX Final Project Report Authoring</t>
        </is>
      </c>
      <c r="C36" s="74" t="inlineStr">
        <is>
          <t>Naman Arora</t>
        </is>
      </c>
      <c r="D36" s="48" t="n">
        <v>0</v>
      </c>
      <c r="E36" s="49" t="n">
        <v>46334</v>
      </c>
      <c r="F36" s="50" t="n">
        <v>46343</v>
      </c>
      <c r="G36" s="20" t="n"/>
      <c r="H36" s="20">
        <f>IF(OR(ISBLANK(task_start),ISBLANK(task_end)),"",task_end-task_start+1)</f>
        <v/>
      </c>
      <c r="I36" s="57" t="n"/>
      <c r="J36" s="57" t="n"/>
      <c r="K36" s="57" t="n"/>
      <c r="L36" s="57" t="n"/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  <c r="AU36" s="57" t="n"/>
      <c r="AV36" s="57" t="n"/>
      <c r="AW36" s="57" t="n"/>
      <c r="AX36" s="57" t="n"/>
      <c r="AY36" s="57" t="n"/>
      <c r="AZ36" s="57" t="n"/>
      <c r="BA36" s="57" t="n"/>
      <c r="BB36" s="57" t="n"/>
      <c r="BC36" s="57" t="n"/>
      <c r="BD36" s="57" t="n"/>
      <c r="BE36" s="57" t="n"/>
      <c r="BF36" s="57" t="n"/>
      <c r="BG36" s="57" t="n"/>
      <c r="BH36" s="57" t="n"/>
      <c r="BI36" s="57" t="n"/>
      <c r="BJ36" s="57" t="n"/>
      <c r="BK36" s="57" t="n"/>
      <c r="BL36" s="57" t="n"/>
    </row>
    <row r="37" ht="21.75" customFormat="1" customHeight="1" s="1" thickBot="1">
      <c r="A37" s="14" t="n"/>
      <c r="B37" s="74" t="inlineStr">
        <is>
          <t>Final Viva Presentation Deck &amp; Project Demonstration</t>
        </is>
      </c>
      <c r="C37" s="74" t="inlineStr">
        <is>
          <t>Naman Arora</t>
        </is>
      </c>
      <c r="D37" s="48" t="n">
        <v>0</v>
      </c>
      <c r="E37" s="49" t="n">
        <v>46338</v>
      </c>
      <c r="F37" s="50" t="n">
        <v>46346</v>
      </c>
      <c r="G37" s="20" t="n"/>
      <c r="H37" s="20">
        <f>IF(OR(ISBLANK(task_start),ISBLANK(task_end)),"",task_end-task_start+1)</f>
        <v/>
      </c>
      <c r="I37" s="57" t="n"/>
      <c r="J37" s="57" t="n"/>
      <c r="K37" s="57" t="n"/>
      <c r="L37" s="57" t="n"/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  <c r="AU37" s="57" t="n"/>
      <c r="AV37" s="57" t="n"/>
      <c r="AW37" s="57" t="n"/>
      <c r="AX37" s="57" t="n"/>
      <c r="AY37" s="57" t="n"/>
      <c r="AZ37" s="57" t="n"/>
      <c r="BA37" s="57" t="n"/>
      <c r="BB37" s="57" t="n"/>
      <c r="BC37" s="57" t="n"/>
      <c r="BD37" s="57" t="n"/>
      <c r="BE37" s="57" t="n"/>
      <c r="BF37" s="57" t="n"/>
      <c r="BG37" s="57" t="n"/>
      <c r="BH37" s="57" t="n"/>
      <c r="BI37" s="57" t="n"/>
      <c r="BJ37" s="57" t="n"/>
      <c r="BK37" s="57" t="n"/>
      <c r="BL37" s="57" t="n"/>
    </row>
    <row r="38" ht="21.75" customFormat="1" customHeight="1" s="1" thickBot="1">
      <c r="A38" s="14" t="n"/>
      <c r="B38" s="15" t="n"/>
      <c r="C38" s="16" t="n"/>
      <c r="D38" s="17" t="n"/>
      <c r="E38" s="18" t="n"/>
      <c r="F38" s="19" t="n"/>
      <c r="G38" s="20" t="n"/>
      <c r="H38" s="20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AU38" s="57" t="n"/>
      <c r="AV38" s="57" t="n"/>
      <c r="AW38" s="57" t="n"/>
      <c r="AX38" s="57" t="n"/>
      <c r="AY38" s="57" t="n"/>
      <c r="AZ38" s="57" t="n"/>
      <c r="BA38" s="57" t="n"/>
      <c r="BB38" s="57" t="n"/>
      <c r="BC38" s="57" t="n"/>
      <c r="BD38" s="57" t="n"/>
      <c r="BE38" s="57" t="n"/>
      <c r="BF38" s="57" t="n"/>
      <c r="BG38" s="57" t="n"/>
      <c r="BH38" s="57" t="n"/>
      <c r="BI38" s="57" t="n"/>
      <c r="BJ38" s="57" t="n"/>
      <c r="BK38" s="57" t="n"/>
      <c r="BL38" s="57" t="n"/>
    </row>
    <row r="39" ht="21.75" customFormat="1" customHeight="1" s="1" thickBot="1">
      <c r="A39" s="14" t="n"/>
      <c r="B39" s="15" t="n"/>
      <c r="C39" s="16" t="n"/>
      <c r="D39" s="17" t="n"/>
      <c r="E39" s="18" t="n"/>
      <c r="F39" s="19" t="n"/>
      <c r="G39" s="20" t="n"/>
      <c r="H39" s="20" t="n"/>
      <c r="I39" s="57" t="n"/>
      <c r="J39" s="57" t="n"/>
      <c r="K39" s="57" t="n"/>
      <c r="L39" s="57" t="n"/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AU39" s="57" t="n"/>
      <c r="AV39" s="57" t="n"/>
      <c r="AW39" s="57" t="n"/>
      <c r="AX39" s="57" t="n"/>
      <c r="AY39" s="57" t="n"/>
      <c r="AZ39" s="57" t="n"/>
      <c r="BA39" s="57" t="n"/>
      <c r="BB39" s="57" t="n"/>
      <c r="BC39" s="57" t="n"/>
      <c r="BD39" s="57" t="n"/>
      <c r="BE39" s="57" t="n"/>
      <c r="BF39" s="57" t="n"/>
      <c r="BG39" s="57" t="n"/>
      <c r="BH39" s="57" t="n"/>
      <c r="BI39" s="57" t="n"/>
      <c r="BJ39" s="57" t="n"/>
      <c r="BK39" s="57" t="n"/>
      <c r="BL39" s="57" t="n"/>
    </row>
    <row r="40" ht="21.75" customFormat="1" customHeight="1" s="1" thickBot="1">
      <c r="A40" s="14" t="n"/>
      <c r="B40" s="15" t="n"/>
      <c r="C40" s="16" t="n"/>
      <c r="D40" s="17" t="n"/>
      <c r="E40" s="18" t="n"/>
      <c r="F40" s="19" t="n"/>
      <c r="G40" s="20" t="n"/>
      <c r="H40" s="20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  <c r="AU40" s="57" t="n"/>
      <c r="AV40" s="57" t="n"/>
      <c r="AW40" s="57" t="n"/>
      <c r="AX40" s="57" t="n"/>
      <c r="AY40" s="57" t="n"/>
      <c r="AZ40" s="57" t="n"/>
      <c r="BA40" s="57" t="n"/>
      <c r="BB40" s="57" t="n"/>
      <c r="BC40" s="57" t="n"/>
      <c r="BD40" s="57" t="n"/>
      <c r="BE40" s="57" t="n"/>
      <c r="BF40" s="57" t="n"/>
      <c r="BG40" s="57" t="n"/>
      <c r="BH40" s="57" t="n"/>
      <c r="BI40" s="57" t="n"/>
      <c r="BJ40" s="57" t="n"/>
      <c r="BK40" s="57" t="n"/>
      <c r="BL40" s="57" t="n"/>
    </row>
    <row r="41" ht="21.75" customFormat="1" customHeight="1" s="1" thickBot="1">
      <c r="A41" s="14" t="n"/>
      <c r="B41" s="51" t="n"/>
      <c r="C41" s="52" t="n"/>
      <c r="D41" s="53" t="n"/>
      <c r="E41" s="54" t="n"/>
      <c r="F41" s="55" t="n"/>
      <c r="G41" s="56" t="n"/>
      <c r="H41" s="56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  <c r="AC41" s="59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59" t="n"/>
      <c r="AP41" s="59" t="n"/>
      <c r="AQ41" s="59" t="n"/>
      <c r="AR41" s="59" t="n"/>
      <c r="AS41" s="59" t="n"/>
      <c r="AT41" s="59" t="n"/>
      <c r="AU41" s="59" t="n"/>
      <c r="AV41" s="59" t="n"/>
      <c r="AW41" s="59" t="n"/>
      <c r="AX41" s="59" t="n"/>
      <c r="AY41" s="59" t="n"/>
      <c r="AZ41" s="59" t="n"/>
      <c r="BA41" s="59" t="n"/>
      <c r="BB41" s="59" t="n"/>
      <c r="BC41" s="59" t="n"/>
      <c r="BD41" s="59" t="n"/>
      <c r="BE41" s="59" t="n"/>
      <c r="BF41" s="59" t="n"/>
      <c r="BG41" s="59" t="n"/>
      <c r="BH41" s="59" t="n"/>
      <c r="BI41" s="59" t="n"/>
      <c r="BJ41" s="59" t="n"/>
      <c r="BK41" s="59" t="n"/>
      <c r="BL41" s="59" t="n"/>
    </row>
    <row r="42">
      <c r="A42" s="3" t="n"/>
      <c r="G42" s="3" t="n"/>
    </row>
    <row r="43">
      <c r="B43" s="12" t="n"/>
      <c r="C43" s="12" t="n"/>
      <c r="F43" s="60" t="n"/>
    </row>
    <row r="44">
      <c r="B44" s="62" t="n"/>
      <c r="C44" s="13" t="n"/>
    </row>
    <row r="45">
      <c r="B45" s="61" t="n"/>
    </row>
  </sheetData>
  <mergeCells count="11">
    <mergeCell ref="AK4:AQ4"/>
    <mergeCell ref="B1:H1"/>
    <mergeCell ref="W4:AC4"/>
    <mergeCell ref="AD4:AJ4"/>
    <mergeCell ref="AR4:AX4"/>
    <mergeCell ref="E2:F2"/>
    <mergeCell ref="P4:V4"/>
    <mergeCell ref="AY4:BE4"/>
    <mergeCell ref="I4:O4"/>
    <mergeCell ref="BF4:BL4"/>
    <mergeCell ref="E3:F3"/>
  </mergeCells>
  <conditionalFormatting sqref="D7:D41">
    <cfRule type="dataBar" priority="12">
      <dataBar>
        <cfvo type="num" val="0"/>
        <cfvo type="num" val="1"/>
        <color theme="0" tint="-0.249977111117893"/>
      </dataBar>
    </cfRule>
  </conditionalFormatting>
  <conditionalFormatting sqref="I5:BL41">
    <cfRule type="expression" priority="27" dxfId="2">
      <formula>AND(today&gt;=I$5,today&lt;I$5+1)</formula>
    </cfRule>
  </conditionalFormatting>
  <conditionalFormatting sqref="I7:BL41">
    <cfRule type="expression" priority="25" dxfId="1">
      <formula>AND(task_start&lt;=I$5,ROUNDDOWN((task_end-task_start+1)*task_progress,0)+task_start-1&gt;=I$5)</formula>
    </cfRule>
    <cfRule type="expression" priority="26" dxfId="0" stopIfTrue="1">
      <formula>AND(task_end&gt;=I$5,task_start&lt;I$5+1)</formula>
    </cfRule>
  </conditionalFormatting>
  <dataValidations count="1">
    <dataValidation sqref="E4" showDropDown="0" showInputMessage="1" showErrorMessage="0" allowBlank="1" promptTitle="Display Week" prompt="Changing this number will scroll the Gantt Chart view." type="whole" operator="greaterThanOrEqual">
      <formula1>1</formula1>
    </dataValidation>
  </dataValidations>
  <pageMargins left="0.35" right="0.35" top="0.35" bottom="0.5" header="0.3" footer="0.3"/>
  <pageSetup orientation="landscape" scale="62" fitToHeight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Vertex42.com</dc:creator>
  <dc:title xmlns:dc="http://purl.org/dc/elements/1.1/">Simple Gantt Chart</dc:title>
  <dc:description xmlns:dc="http://purl.org/dc/elements/1.1/">© 2018-2019 Vertex42 LLC. All Rights Reserved.</dc:description>
  <dcterms:created xmlns:dcterms="http://purl.org/dc/terms/" xmlns:xsi="http://www.w3.org/2001/XMLSchema-instance" xsi:type="dcterms:W3CDTF">2017-01-09T18:01:51Z</dcterms:created>
  <dcterms:modified xmlns:dcterms="http://purl.org/dc/terms/" xmlns:xsi="http://www.w3.org/2001/XMLSchema-instance" xsi:type="dcterms:W3CDTF">2026-09-11T06:08:20Z</dcterms:modified>
  <cp:lastModifiedBy>Naman Arora</cp:lastModifiedBy>
  <cp:lastPrinted>2019-04-24T14:39:40Z</cp:lastPrinted>
</cp:coreProperties>
</file>

<file path=docProps/custom.xml><?xml version="1.0" encoding="utf-8"?>
<Properties xmlns="http://schemas.openxmlformats.org/officeDocument/2006/custom-properties">
  <property name="Source" fmtid="{D5CDD505-2E9C-101B-9397-08002B2CF9AE}" pid="2">
    <vt:lpwstr xmlns:vt="http://schemas.openxmlformats.org/officeDocument/2006/docPropsVTypes">https://www.vertex42.com/</vt:lpwstr>
  </property>
  <property name="Copyright" fmtid="{D5CDD505-2E9C-101B-9397-08002B2CF9AE}" pid="3">
    <vt:lpwstr xmlns:vt="http://schemas.openxmlformats.org/officeDocument/2006/docPropsVTypes">© 2019 Vertex42 LLC</vt:lpwstr>
  </property>
  <property name="Version" fmtid="{D5CDD505-2E9C-101B-9397-08002B2CF9AE}" pid="4">
    <vt:lpwstr xmlns:vt="http://schemas.openxmlformats.org/officeDocument/2006/docPropsVTypes">1.0.1</vt:lpwstr>
  </property>
</Properties>
</file>